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99f5697d14687421/Desktop/GRC Project Files/Capstone Project_Oscorp NIST Assesment/Repository Files/"/>
    </mc:Choice>
  </mc:AlternateContent>
  <xr:revisionPtr revIDLastSave="4" documentId="8_{728B7602-2B8D-47AF-800B-F5F3B8EBE3B1}" xr6:coauthVersionLast="47" xr6:coauthVersionMax="47" xr10:uidLastSave="{14362D0D-3DC1-434A-B598-461F64A34E3B}"/>
  <bookViews>
    <workbookView xWindow="2190" yWindow="-120" windowWidth="49530" windowHeight="21840" xr2:uid="{00000000-000D-0000-FFFF-FFFF00000000}"/>
  </bookViews>
  <sheets>
    <sheet name="Risk Register" sheetId="1" r:id="rId1"/>
    <sheet name="Assessment Summary" sheetId="2" r:id="rId2"/>
    <sheet name="Scoring Methodology" sheetId="3" r:id="rId3"/>
    <sheet name="Risk Traceability" sheetId="4" r:id="rId4"/>
    <sheet name="Roadmap Priorities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7" i="2" l="1"/>
  <c r="E8" i="2"/>
  <c r="E9" i="2"/>
  <c r="E10" i="2"/>
  <c r="E6" i="2"/>
  <c r="Q6" i="1" a="1"/>
  <c r="Q6" i="1" s="1"/>
  <c r="P6" i="1" s="1"/>
  <c r="Q7" i="1" a="1"/>
  <c r="Q7" i="1" s="1"/>
  <c r="P7" i="1" s="1"/>
  <c r="Q8" i="1" a="1"/>
  <c r="Q8" i="1" s="1"/>
  <c r="P8" i="1" s="1"/>
  <c r="Q9" i="1" a="1"/>
  <c r="Q9" i="1" s="1"/>
  <c r="P9" i="1" s="1"/>
  <c r="Q10" i="1" a="1"/>
  <c r="Q10" i="1"/>
  <c r="Q11" i="1" a="1"/>
  <c r="Q11" i="1" s="1"/>
  <c r="P11" i="1" s="1"/>
  <c r="Q12" i="1" a="1"/>
  <c r="Q12" i="1" s="1"/>
  <c r="P12" i="1" s="1"/>
  <c r="Q13" i="1" a="1"/>
  <c r="Q13" i="1" s="1"/>
  <c r="P13" i="1" s="1"/>
  <c r="Q14" i="1" a="1"/>
  <c r="Q14" i="1" s="1"/>
  <c r="P14" i="1" s="1"/>
  <c r="Q15" i="1" a="1"/>
  <c r="Q15" i="1" s="1"/>
  <c r="P15" i="1" s="1"/>
  <c r="Q16" i="1" a="1"/>
  <c r="Q16" i="1" s="1"/>
  <c r="P16" i="1" s="1"/>
  <c r="Q17" i="1" a="1"/>
  <c r="Q17" i="1" s="1"/>
  <c r="P17" i="1" s="1"/>
  <c r="Q18" i="1" a="1"/>
  <c r="Q18" i="1" s="1"/>
  <c r="P18" i="1" s="1"/>
  <c r="Q19" i="1" a="1"/>
  <c r="Q19" i="1" s="1"/>
  <c r="P19" i="1" s="1"/>
  <c r="Q5" i="1" a="1"/>
  <c r="Q5" i="1" s="1"/>
  <c r="P5" i="1" s="1"/>
  <c r="H19" i="1"/>
  <c r="H18" i="1"/>
  <c r="H17" i="1"/>
  <c r="H16" i="1"/>
  <c r="H15" i="1"/>
  <c r="H14" i="1"/>
  <c r="H13" i="1"/>
  <c r="H12" i="1"/>
  <c r="H11" i="1"/>
  <c r="P10" i="1"/>
  <c r="H10" i="1"/>
  <c r="H9" i="1"/>
  <c r="H8" i="1"/>
  <c r="H7" i="1"/>
  <c r="H6" i="1"/>
  <c r="H5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<sst xmlns="http://schemas.openxmlformats.org/spreadsheetml/2006/main" count="542" uniqueCount="303">
  <si>
    <t>Oscorp NIST CSF Risk Register</t>
  </si>
  <si>
    <t>Built from the GRC Mastery NIST Cyber Security Assessment (2026) | Portfolio artifact | Risk scores and proposed residual ratings are analytical estimates</t>
  </si>
  <si>
    <t>Risk ID</t>
  </si>
  <si>
    <t>Risk Title</t>
  </si>
  <si>
    <t>Risk Description</t>
  </si>
  <si>
    <t>Primary Impact</t>
  </si>
  <si>
    <t>Inherent Likelihood</t>
  </si>
  <si>
    <t>Inherent Impact</t>
  </si>
  <si>
    <t>Inherent Score</t>
  </si>
  <si>
    <t>Treatment</t>
  </si>
  <si>
    <t>Treatment Plan</t>
  </si>
  <si>
    <t>Risk Owner</t>
  </si>
  <si>
    <t>NIST CSF Function</t>
  </si>
  <si>
    <t>NIST CSF Category</t>
  </si>
  <si>
    <t>Residual Rating</t>
  </si>
  <si>
    <t>Residual Score</t>
  </si>
  <si>
    <t>Priority</t>
  </si>
  <si>
    <t>Target</t>
  </si>
  <si>
    <t>Business Rationale</t>
  </si>
  <si>
    <t>Residual Likelihood</t>
  </si>
  <si>
    <t>Residual Impact</t>
  </si>
  <si>
    <t>R-001</t>
  </si>
  <si>
    <t>Cybersecurity governance is undefined</t>
  </si>
  <si>
    <t>Oscorp lacks a formal cybersecurity governance structure, defined security roles, documented policies, and a clear reporting/oversight chain. This can cause accountability gaps and inconsistent security decisions.</t>
  </si>
  <si>
    <t>Governance / Confidentiality / Integrity / Availability</t>
  </si>
  <si>
    <t>High</t>
  </si>
  <si>
    <t>Mitigate</t>
  </si>
  <si>
    <t>Establish an information security governance charter; define security roles and responsibilities; appoint accountable leadership; create core policies; establish management/board reporting and risk acceptance authority.</t>
  </si>
  <si>
    <t>Executive Leadership / Security Lead</t>
  </si>
  <si>
    <t>Identify</t>
  </si>
  <si>
    <t>ID.GV-1, ID.GV-2, ID.GV-4</t>
  </si>
  <si>
    <t>Critical</t>
  </si>
  <si>
    <t>Year 1 – Q1/Q2</t>
  </si>
  <si>
    <t>Directly affects the organization's ability to manage every other cybersecurity risk.</t>
  </si>
  <si>
    <t>Low</t>
  </si>
  <si>
    <t>Very High</t>
  </si>
  <si>
    <t>R-002</t>
  </si>
  <si>
    <t>Enterprise Risk Management</t>
  </si>
  <si>
    <t>Cybersecurity risk is not formally assessed or governed</t>
  </si>
  <si>
    <t>Oscorp has no established cybersecurity risk-management process, formal risk tolerance, or documented method for using threats, vulnerabilities, likelihood, and business impact to determine risk.</t>
  </si>
  <si>
    <t>Confidentiality / Integrity / Availability</t>
  </si>
  <si>
    <t>Define risk methodology, risk appetite/tolerance, assessment cadence, risk register, treatment criteria, and formal risk acceptance/escalation process.</t>
  </si>
  <si>
    <t>ID.RA-4, ID.RA-6, ID.RM-1, ID.RM-2, ID.RM-3</t>
  </si>
  <si>
    <t>A formal risk process is the foundation for prioritizing limited security resources.</t>
  </si>
  <si>
    <t>R-003</t>
  </si>
  <si>
    <t>Asset &amp; Software Inventory</t>
  </si>
  <si>
    <t>Incomplete asset and software inventory</t>
  </si>
  <si>
    <t>The CMDB exists but does not fully cover hardware, software, SaaS, or critical applications, and there is no established recurring review process. Unknown assets can remain unprotected or unsupported.</t>
  </si>
  <si>
    <t>Expand the authoritative inventory; include hardware, software, SaaS and critical applications; assign owners/classifications; reconcile inventory on a defined schedule.</t>
  </si>
  <si>
    <t>IT Operations</t>
  </si>
  <si>
    <t>ID.AM-1, ID.AM-2, ID.AM-4, ID.AM-5</t>
  </si>
  <si>
    <t>Year 1 – Q2</t>
  </si>
  <si>
    <t>You cannot reliably protect, monitor, patch, or recover assets you cannot identify.</t>
  </si>
  <si>
    <t>R-004</t>
  </si>
  <si>
    <t>Data &amp; Network Mapping</t>
  </si>
  <si>
    <t>Critical communication and data flows are undocumented</t>
  </si>
  <si>
    <t>Oscorp lacks current network diagrams and documented communication/data flows, including cloud environments. This limits visibility into trust boundaries, sensitive data movement, and potential attack paths.</t>
  </si>
  <si>
    <t>Confidentiality / Integrity</t>
  </si>
  <si>
    <t>Create and maintain network and data-flow diagrams; identify trust boundaries, critical systems, cloud dependencies, and sensitive information flows.</t>
  </si>
  <si>
    <t>IT Operations / Architecture</t>
  </si>
  <si>
    <t>ID.AM-3</t>
  </si>
  <si>
    <t>Year 1 – Q2/Q3</t>
  </si>
  <si>
    <t>Improves architecture visibility and supports segmentation, monitoring, and incident response.</t>
  </si>
  <si>
    <t>R-005</t>
  </si>
  <si>
    <t>Third-Party Risk</t>
  </si>
  <si>
    <t>Third-party and supply-chain security is unmanaged</t>
  </si>
  <si>
    <t>Third-party interactions are handled inconsistently, suppliers are not comprehensively inventoried or classified, and there is no defined process for collecting supplier security or breach information.</t>
  </si>
  <si>
    <t>Create a third-party inventory and tiering model; assess critical suppliers; establish contractual security requirements; track security reviews, incidents, and evidence such as SOC reports where appropriate.</t>
  </si>
  <si>
    <t>Procurement / Security</t>
  </si>
  <si>
    <t>ID.SC-1, ID.SC-2, ID.SC-3, ID.SC-4</t>
  </si>
  <si>
    <t>Year 1 – Q2/Q4</t>
  </si>
  <si>
    <t>Third parties can materially expand the attack surface and introduce risks outside direct organizational control.</t>
  </si>
  <si>
    <t>R-006</t>
  </si>
  <si>
    <t>Business Continuity</t>
  </si>
  <si>
    <t>Critical services and resilience requirements are not formally defined</t>
  </si>
  <si>
    <t>Critical services, dependencies, business impacts, and resilience requirements are not sufficiently documented or prioritized for cybersecurity decision-making.</t>
  </si>
  <si>
    <t>Availability</t>
  </si>
  <si>
    <t>Perform a business impact analysis; identify critical services/dependencies; define recovery priorities and resilience requirements; align BCP/DR objectives with business needs.</t>
  </si>
  <si>
    <t>Business Continuity / IT</t>
  </si>
  <si>
    <t>ID.BE-4, ID.BE-5, ID.BE-6</t>
  </si>
  <si>
    <t>Recovery priorities should be driven by business impact rather than technology assumptions.</t>
  </si>
  <si>
    <t>R-007</t>
  </si>
  <si>
    <t>Access Control</t>
  </si>
  <si>
    <t>Least privilege and separation of duties are not consistently implemented</t>
  </si>
  <si>
    <t>Access permissions are not managed using least privilege and separation of duties, while privileged access controls are incomplete. This increases the impact of compromised or misused accounts.</t>
  </si>
  <si>
    <t>Implement role-based access; perform periodic access reviews; separate privileged accounts; define privileged access standards; enforce least privilege and separation of duties for critical functions.</t>
  </si>
  <si>
    <t>IT / IAM Owner</t>
  </si>
  <si>
    <t>Protect</t>
  </si>
  <si>
    <t>PR.AC-4, PR.AC-6</t>
  </si>
  <si>
    <t>Excessive permissions can turn a single compromised account into a broader security incident.</t>
  </si>
  <si>
    <t>R-008</t>
  </si>
  <si>
    <t>Remote &amp; External Access</t>
  </si>
  <si>
    <t>Remote access controls are undefined</t>
  </si>
  <si>
    <t>Remote access is not clearly governed by documented controls, creating uncertainty around authentication, authorization, device requirements, and monitoring for external connections.</t>
  </si>
  <si>
    <t>Document remote-access requirements; enforce MFA; restrict access based on role/device/risk; log remote connections; periodically review remote-access permissions.</t>
  </si>
  <si>
    <t>PR.AC-7</t>
  </si>
  <si>
    <t>Year 1 – Q3</t>
  </si>
  <si>
    <t>Remote access can bypass traditional network boundaries and requires explicit security controls.</t>
  </si>
  <si>
    <t>R-009</t>
  </si>
  <si>
    <t>Data Security</t>
  </si>
  <si>
    <t>Encryption and data-leak protections are insufficient</t>
  </si>
  <si>
    <t>Assessment findings indicate gaps in protection of data at rest and in transit, as well as a lack of formal data-leak prevention controls. Sensitive information may therefore be exposed or exfiltrated.</t>
  </si>
  <si>
    <t>Confidentiality</t>
  </si>
  <si>
    <t>Classify sensitive data; define encryption requirements; verify cloud/provider encryption; implement appropriate DLP controls; restrict removable media and data sharing based on risk.</t>
  </si>
  <si>
    <t>Security / Data Owners</t>
  </si>
  <si>
    <t>PR.DS-1, PR.DS-2, PR.DS-5, PR.DS-6, PR.DS-7</t>
  </si>
  <si>
    <t>Year 1 – Q3/Q4</t>
  </si>
  <si>
    <t>This is one of the most direct paths to loss of confidential information.</t>
  </si>
  <si>
    <t>R-010</t>
  </si>
  <si>
    <t>Secure Configuration &amp; Change Management</t>
  </si>
  <si>
    <t>Configuration, SDLC, and environment separation controls are immature</t>
  </si>
  <si>
    <t>Oscorp lacks formal baseline configurations, configuration change control, a defined SDLC, and separation between development/testing and production environments.</t>
  </si>
  <si>
    <t>Integrity / Availability</t>
  </si>
  <si>
    <t>Define secure configuration baselines; implement change control; formalize SDLC security requirements; separate development/test/production environments; document exceptions.</t>
  </si>
  <si>
    <t>IT Operations / Development</t>
  </si>
  <si>
    <t>PR.IP-1, PR.IP-2, PR.IP-3, PR.IP-7</t>
  </si>
  <si>
    <t>Year 1 – Year 2</t>
  </si>
  <si>
    <t>Weak configuration and change controls can introduce vulnerabilities directly into production.</t>
  </si>
  <si>
    <t>R-011</t>
  </si>
  <si>
    <t>Security Monitoring</t>
  </si>
  <si>
    <t>Oscorp lacks centralized security monitoring and event correlation</t>
  </si>
  <si>
    <t>There is no operating SIEM, limited/no centralized logging, no defined cyber detection roles, and no established alert thresholds or escalation process. Malicious activity may therefore remain undetected.</t>
  </si>
  <si>
    <t>Define logging requirements; centralize critical security logs; implement SIEM capability; establish detection use cases, alert thresholds, triage procedures, escalation paths, and monitoring ownership.</t>
  </si>
  <si>
    <t>Security Operations / IT</t>
  </si>
  <si>
    <t>Detect</t>
  </si>
  <si>
    <t>DE.AE-1, DE.AE-2, DE.AE-3, DE.AE-4, DE.AE-5, DE.CM-1, DE.CM-7</t>
  </si>
  <si>
    <t>Year 2 – Q1/Q2</t>
  </si>
  <si>
    <t>The absence of centralized detection substantially increases dwell time and limits incident investigation.</t>
  </si>
  <si>
    <t>R-012</t>
  </si>
  <si>
    <t>Malware &amp; Endpoint Security</t>
  </si>
  <si>
    <t>Endpoint protection and malicious-code detection are inadequate</t>
  </si>
  <si>
    <t>The assessment indicates no anti-malware solution is in place and no defined capability for detecting malicious code or unauthorized mobile code.</t>
  </si>
  <si>
    <t>Deploy centrally managed endpoint protection/EDR appropriate to the environment; define coverage requirements; monitor detections; establish response procedures for compromised endpoints.</t>
  </si>
  <si>
    <t>IT Operations / Security</t>
  </si>
  <si>
    <t>Protect / Detect</t>
  </si>
  <si>
    <t>PR.PT-4, DE.CM-4</t>
  </si>
  <si>
    <t>Year 1 – Q4</t>
  </si>
  <si>
    <t>Endpoint controls provide a practical first line of defense while broader monitoring capabilities mature.</t>
  </si>
  <si>
    <t>R-013</t>
  </si>
  <si>
    <t>Incident Response</t>
  </si>
  <si>
    <t>Incident response roles, procedures, escalation, and containment are undefined</t>
  </si>
  <si>
    <t>Oscorp has no mature cyber incident response process or dedicated response capability. Personnel, escalation, incident categorization, containment, mitigation, and external coordination are not consistently defined or tested.</t>
  </si>
  <si>
    <t>Develop an incident response plan; define roles/RACI and escalation thresholds; establish severity categories; document containment and mitigation procedures; identify external contacts; conduct tabletop exercises.</t>
  </si>
  <si>
    <t>Security Lead / IT / Executive Leadership</t>
  </si>
  <si>
    <t>Respond</t>
  </si>
  <si>
    <t>RS.RP-1, RS.CO-1, RS.CO-2, RS.CO-3, RS.CO-4, RS.MI-1, RS.MI-2</t>
  </si>
  <si>
    <t>A security event becomes significantly more damaging when the organization does not know who acts, when, or how.</t>
  </si>
  <si>
    <t>R-014</t>
  </si>
  <si>
    <t>Digital Forensics &amp; Investigation</t>
  </si>
  <si>
    <t>Incident investigation and forensic capability is limited</t>
  </si>
  <si>
    <t>Oscorp lacks a digital forensics team and has no mature process for investigating cyber alerts, understanding incident impact, or preserving evidence.</t>
  </si>
  <si>
    <t>Define an investigation and evidence-handling process; identify internal capability gaps; establish external forensic support where appropriate; integrate investigation procedures with incident response.</t>
  </si>
  <si>
    <t>Security Lead / Legal / IT</t>
  </si>
  <si>
    <t>RS.AN-1, RS.AN-2, RS.AN-3, RS.AN-4</t>
  </si>
  <si>
    <t>External support can be more realistic than building a dedicated forensic team immediately.</t>
  </si>
  <si>
    <t>R-015</t>
  </si>
  <si>
    <t>Recovery &amp; Crisis Communications</t>
  </si>
  <si>
    <t>Recovery communications, reputation management, and lessons learned are incomplete</t>
  </si>
  <si>
    <t>Oscorp has a tested disaster recovery plan, but recovery lessons learned, communications/escalation, public relations, and reputation-repair activities are not clearly defined.</t>
  </si>
  <si>
    <t>Availability / Reputation</t>
  </si>
  <si>
    <t>Moderate</t>
  </si>
  <si>
    <t>Add lessons-learned requirements to recovery; define internal/executive communications and escalation; establish crisis communications and public-relations responsibilities; update recovery plans after exercises/incidents.</t>
  </si>
  <si>
    <t>Business Continuity / Communications / Executive Leadership</t>
  </si>
  <si>
    <t>Recover</t>
  </si>
  <si>
    <t>RC.IM-1, RC.IM-2, RC.CO-1, RC.CO-2</t>
  </si>
  <si>
    <t>Year 2 – Year 3</t>
  </si>
  <si>
    <t>The existing DR strength should be preserved while adding governance and communications around recovery.</t>
  </si>
  <si>
    <t>Assessment-Derived Summary</t>
  </si>
  <si>
    <t>GRC Mastery NIST Cyber Security Assessment_2026.xlsx</t>
  </si>
  <si>
    <t>NIST Function</t>
  </si>
  <si>
    <t>Non-Pass / Unknown</t>
  </si>
  <si>
    <t>Pass</t>
  </si>
  <si>
    <t>Total Findings</t>
  </si>
  <si>
    <t>Key interpretation</t>
  </si>
  <si>
    <t>The assessment shows the largest concentration of deficiencies in Protect, Detect, and Respond, with governance/risk-management weaknesses in Identify acting as systemic drivers.</t>
  </si>
  <si>
    <t>Risk Scoring Methodology — 1–5 Model</t>
  </si>
  <si>
    <t>Likelihood</t>
  </si>
  <si>
    <t>Value</t>
  </si>
  <si>
    <t>Working Definition</t>
  </si>
  <si>
    <t>Impact</t>
  </si>
  <si>
    <t>Very Low</t>
  </si>
  <si>
    <t>Rare or minimal exposure; occurrence is not expected under normal conditions.</t>
  </si>
  <si>
    <t>Negligible business or security consequence.</t>
  </si>
  <si>
    <t>Unlikely, but a credible scenario exists.</t>
  </si>
  <si>
    <t>Limited operational or informational impact.</t>
  </si>
  <si>
    <t>Reasonably possible under current conditions.</t>
  </si>
  <si>
    <t>Material impact to a business process, asset, or stakeholder.</t>
  </si>
  <si>
    <t>Likely to occur or significant/recurring exposure exists.</t>
  </si>
  <si>
    <t>Significant operational, financial, regulatory, or reputational impact.</t>
  </si>
  <si>
    <t>Highly likely, broadly exposed, or persistent exposure exists.</t>
  </si>
  <si>
    <t>Severe enterprise-level impact or major loss of critical information/services.</t>
  </si>
  <si>
    <t>Likelihood × Impact</t>
  </si>
  <si>
    <t>Residual Risk</t>
  </si>
  <si>
    <t>Approach</t>
  </si>
  <si>
    <t>Meaning</t>
  </si>
  <si>
    <t>1–4</t>
  </si>
  <si>
    <t>1–5</t>
  </si>
  <si>
    <t>Expected likelihood after proposed controls are implemented.</t>
  </si>
  <si>
    <t>5–9</t>
  </si>
  <si>
    <t>Expected impact after proposed controls are implemented.</t>
  </si>
  <si>
    <t>10–16</t>
  </si>
  <si>
    <t>Calculated from the two residual parameters.</t>
  </si>
  <si>
    <t>17–25</t>
  </si>
  <si>
    <t>Validation</t>
  </si>
  <si>
    <t>Required</t>
  </si>
  <si>
    <t>Residual ratings remain estimates until control effectiveness is tested.</t>
  </si>
  <si>
    <t>Source NIST Function</t>
  </si>
  <si>
    <t>Source Control Description / Finding</t>
  </si>
  <si>
    <t>Assessment Status</t>
  </si>
  <si>
    <t>Assessment Comment / Evidence</t>
  </si>
  <si>
    <t>How Converted to Risk</t>
  </si>
  <si>
    <t>Organizational information security policy is established.</t>
  </si>
  <si>
    <t>Fail</t>
  </si>
  <si>
    <t>No information security policy; roles/reporting chain undefined.</t>
  </si>
  <si>
    <t>Governance risk</t>
  </si>
  <si>
    <t>Governance and risk management processes address cybersecurity risk.</t>
  </si>
  <si>
    <t>No established cyber risk process or defined stakeholders.</t>
  </si>
  <si>
    <t>Enterprise risk risk</t>
  </si>
  <si>
    <t>Software platforms and applications within the organization are inventoried.</t>
  </si>
  <si>
    <t>SaaS/local applications are not comprehensively managed; no regular review.</t>
  </si>
  <si>
    <t>Asset inventory risk</t>
  </si>
  <si>
    <t>Organizational communication and data flows are mapped.</t>
  </si>
  <si>
    <t>No current network/data-flow mapping.</t>
  </si>
  <si>
    <t>Architecture/data-flow risk</t>
  </si>
  <si>
    <t>The organization’s role in the supply chain is identified and communicated.</t>
  </si>
  <si>
    <t>Third-party interactions are handled inconsistently; suppliers not classified/tracked.</t>
  </si>
  <si>
    <t>Third-party risk</t>
  </si>
  <si>
    <t>Dependencies and critical functions for delivery of critical services are established.</t>
  </si>
  <si>
    <t>Critical services/dependencies not formally identified; BIA needed.</t>
  </si>
  <si>
    <t>Business continuity risk</t>
  </si>
  <si>
    <t>Access permissions are managed, incorporating least privilege and separation of duties.</t>
  </si>
  <si>
    <t>Least privilege and separation of duties are not used; privileged access incomplete.</t>
  </si>
  <si>
    <t>Access-control risk</t>
  </si>
  <si>
    <t>Remote access is managed.</t>
  </si>
  <si>
    <t>Remote access controls are undefined.</t>
  </si>
  <si>
    <t>Remote-access risk</t>
  </si>
  <si>
    <t>Data-at-rest/data-in-transit protections and data-leak controls.</t>
  </si>
  <si>
    <t>Encryption/DLP protections are incomplete or absent.</t>
  </si>
  <si>
    <t>Data protection risk</t>
  </si>
  <si>
    <t>Baseline configuration, SDLC, and configuration change controls are in place.</t>
  </si>
  <si>
    <t>Formal configuration/SDLC/change controls and environment separation are absent.</t>
  </si>
  <si>
    <t>Change/configuration risk</t>
  </si>
  <si>
    <t>Event data are aggregated and correlated from multiple sources and sensors.</t>
  </si>
  <si>
    <t>No SIEM and no centralized logs; detection roles/processes undefined.</t>
  </si>
  <si>
    <t>Detection/monitoring risk</t>
  </si>
  <si>
    <t>Malicious code is detected.</t>
  </si>
  <si>
    <t>No anti-malware solution or defined malicious-code detection capability.</t>
  </si>
  <si>
    <t>Endpoint/malware risk</t>
  </si>
  <si>
    <t>Response plan, communications, analysis, mitigation and incident categorization.</t>
  </si>
  <si>
    <t>No mature cyber IR plan/team; containment and escalation are undefined.</t>
  </si>
  <si>
    <t>Incident-response risk</t>
  </si>
  <si>
    <t>Forensics are performed.</t>
  </si>
  <si>
    <t>No digital forensics team; cyber-alert investigation capability is limited.</t>
  </si>
  <si>
    <t>Investigation risk</t>
  </si>
  <si>
    <t>Recovery communications, reputation repair, and lessons learned.</t>
  </si>
  <si>
    <t>Recovery lessons learned, communications, PR, and escalation are undefined; DR testing itself passes.</t>
  </si>
  <si>
    <t>Recovery governance risk</t>
  </si>
  <si>
    <t>Initiative</t>
  </si>
  <si>
    <t>Reason for Timing</t>
  </si>
  <si>
    <t>1</t>
  </si>
  <si>
    <t>Establish cybersecurity governance, policy, roles, and reporting</t>
  </si>
  <si>
    <t>Governance is a systemic dependency for all other controls.</t>
  </si>
  <si>
    <t>2</t>
  </si>
  <si>
    <t>Implement enterprise cyber risk methodology and risk register</t>
  </si>
  <si>
    <t>Creates the decision framework for prioritizing resources and accepting residual risk.</t>
  </si>
  <si>
    <t>3</t>
  </si>
  <si>
    <t>Implement least privilege, access reviews, and privileged access controls</t>
  </si>
  <si>
    <t>High-impact exposure that can be reduced with policy/process and targeted technology.</t>
  </si>
  <si>
    <t>4</t>
  </si>
  <si>
    <t>Complete asset/software/SaaS inventory and classification</t>
  </si>
  <si>
    <t>Enables reliable protection, monitoring, patching, and recovery.</t>
  </si>
  <si>
    <t>5</t>
  </si>
  <si>
    <t>Establish third-party risk management</t>
  </si>
  <si>
    <t>Supplier exposure is currently unmanaged and can introduce external compromise paths.</t>
  </si>
  <si>
    <t>6</t>
  </si>
  <si>
    <t>Protect sensitive data with encryption and DLP controls</t>
  </si>
  <si>
    <t>Directly addresses confidentiality risk and potential data leakage.</t>
  </si>
  <si>
    <t>7</t>
  </si>
  <si>
    <t>Build and test incident response capability</t>
  </si>
  <si>
    <t>Reduces business impact when preventive controls fail.</t>
  </si>
  <si>
    <t>8</t>
  </si>
  <si>
    <t>Implement centralized logging/SIEM and detection use cases</t>
  </si>
  <si>
    <t>Major maturity uplift; scheduled after foundational governance and asset visibility.</t>
  </si>
  <si>
    <t>9</t>
  </si>
  <si>
    <t>Deploy managed endpoint protection/EDR</t>
  </si>
  <si>
    <t>Practical detection/prevention layer while SIEM capability matures.</t>
  </si>
  <si>
    <t>10</t>
  </si>
  <si>
    <t>Formalize secure configuration, SDLC, change control, and environment separation</t>
  </si>
  <si>
    <t>Reduces recurring weaknesses introduced through technology change.</t>
  </si>
  <si>
    <t>11</t>
  </si>
  <si>
    <t>Perform BIA and define critical-service resilience requirements</t>
  </si>
  <si>
    <t>Makes continuity and recovery investment business-driven.</t>
  </si>
  <si>
    <t>12</t>
  </si>
  <si>
    <t>Establish forensic investigation capability</t>
  </si>
  <si>
    <t>Can be outsourced initially; mature as detection/response capabilities increase.</t>
  </si>
  <si>
    <t>13</t>
  </si>
  <si>
    <t>Formalize recovery communications and lessons learned</t>
  </si>
  <si>
    <t>Builds on the existing tested DR capability.</t>
  </si>
  <si>
    <t>Source Workbook</t>
  </si>
  <si>
    <t>Rating</t>
  </si>
  <si>
    <t>Current Pass Rate</t>
  </si>
  <si>
    <t>Risk Area</t>
  </si>
  <si>
    <t>Governance &amp; Accountability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</si>
</sst>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</font>
    <font>
      <b/>
      <sz val="18"/>
      <name val="Calibri"/>
      <family val="2"/>
    </font>
    <font>
      <i/>
      <sz val="11"/>
      <name val="Calibri"/>
      <family val="2"/>
    </font>
    <font>
      <b/>
      <sz val="11"/>
      <name val="Calibri"/>
      <family val="2"/>
    </font>
    <font>
      <b/>
      <sz val="16"/>
      <name val="Calibri"/>
      <family val="2"/>
    </font>
    <font>
      <b/>
      <sz val="11"/>
      <color rgb="FFFFFFFF"/>
      <name val="Calibri"/>
      <family val="2"/>
    </font>
    <font>
      <b/>
      <sz val="16"/>
      <color theme="1"/>
      <name val="Calibri"/>
      <family val="2"/>
    </font>
    <font>
      <b/>
      <sz val="11"/>
      <color rgb="FFFFFFFF"/>
      <name val="Calibri"/>
      <family val="2"/>
    </font>
    <font>
      <sz val="11"/>
      <color theme="1"/>
      <name val="Calibri"/>
      <family val="2"/>
    </font>
    <font>
      <b/>
      <sz val="11"/>
      <color theme="3" tint="-0.499984740745262"/>
      <name val="Calibri"/>
      <family val="2"/>
    </font>
    <font>
      <sz val="11"/>
      <color theme="3" tint="-0.499984740745262"/>
      <name val="Calibri"/>
      <family val="2"/>
    </font>
    <font>
      <b/>
      <sz val="11"/>
      <color theme="0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24">
    <border>
      <left/>
      <right/>
      <top/>
      <bottom/>
      <diagonal/>
    </border>
    <border>
      <left/>
      <right/>
      <top/>
      <bottom style="thin">
        <color rgb="FFD9D9D9"/>
      </bottom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D9D9D9"/>
      </left>
      <right style="thin">
        <color rgb="FFD9D9D9"/>
      </right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/>
      <top style="thin">
        <color rgb="FFD9D9D9"/>
      </top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</borders>
  <cellStyleXfs count="1">
    <xf numFmtId="0" fontId="0" fillId="0" borderId="0"/>
  </cellStyleXfs>
  <cellXfs count="64">
    <xf numFmtId="0" fontId="0" fillId="0" borderId="0" xfId="0"/>
    <xf numFmtId="0" fontId="0" fillId="0" borderId="1" xfId="0" applyBorder="1" applyAlignment="1">
      <alignment vertical="top" wrapText="1"/>
    </xf>
    <xf numFmtId="0" fontId="0" fillId="0" borderId="2" xfId="0" applyBorder="1"/>
    <xf numFmtId="0" fontId="5" fillId="2" borderId="0" xfId="0" applyFont="1" applyFill="1" applyAlignment="1">
      <alignment horizontal="center" vertical="center" wrapText="1"/>
    </xf>
    <xf numFmtId="0" fontId="0" fillId="0" borderId="2" xfId="0" applyBorder="1" applyAlignment="1">
      <alignment vertical="top" wrapText="1"/>
    </xf>
    <xf numFmtId="0" fontId="0" fillId="0" borderId="8" xfId="0" applyBorder="1" applyAlignment="1">
      <alignment vertical="top" wrapText="1"/>
    </xf>
    <xf numFmtId="0" fontId="0" fillId="0" borderId="3" xfId="0" applyBorder="1" applyAlignment="1">
      <alignment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0" fillId="0" borderId="10" xfId="0" applyBorder="1" applyAlignment="1">
      <alignment vertical="top" wrapText="1"/>
    </xf>
    <xf numFmtId="0" fontId="0" fillId="0" borderId="10" xfId="0" applyBorder="1" applyAlignment="1">
      <alignment vertical="center" wrapText="1"/>
    </xf>
    <xf numFmtId="0" fontId="3" fillId="0" borderId="2" xfId="0" applyFont="1" applyBorder="1" applyAlignment="1">
      <alignment vertical="center"/>
    </xf>
    <xf numFmtId="0" fontId="3" fillId="0" borderId="3" xfId="0" applyFont="1" applyBorder="1" applyAlignment="1">
      <alignment vertical="center"/>
    </xf>
    <xf numFmtId="0" fontId="10" fillId="0" borderId="0" xfId="0" applyFont="1" applyAlignment="1">
      <alignment vertical="center"/>
    </xf>
    <xf numFmtId="0" fontId="0" fillId="0" borderId="2" xfId="0" applyBorder="1" applyAlignment="1">
      <alignment vertical="center" wrapText="1"/>
    </xf>
    <xf numFmtId="0" fontId="10" fillId="0" borderId="2" xfId="0" applyFont="1" applyBorder="1" applyAlignment="1">
      <alignment vertical="center" wrapText="1"/>
    </xf>
    <xf numFmtId="0" fontId="7" fillId="2" borderId="11" xfId="0" applyFont="1" applyFill="1" applyBorder="1" applyAlignment="1">
      <alignment vertical="center" wrapText="1"/>
    </xf>
    <xf numFmtId="0" fontId="0" fillId="0" borderId="11" xfId="0" applyBorder="1" applyAlignment="1">
      <alignment vertical="top" wrapText="1"/>
    </xf>
    <xf numFmtId="0" fontId="9" fillId="4" borderId="11" xfId="0" applyFont="1" applyFill="1" applyBorder="1" applyAlignment="1">
      <alignment vertical="center" wrapText="1"/>
    </xf>
    <xf numFmtId="0" fontId="10" fillId="4" borderId="11" xfId="0" applyFont="1" applyFill="1" applyBorder="1" applyAlignment="1">
      <alignment vertical="center" wrapText="1"/>
    </xf>
    <xf numFmtId="0" fontId="0" fillId="0" borderId="11" xfId="0" applyBorder="1" applyAlignment="1">
      <alignment vertical="center" wrapText="1"/>
    </xf>
    <xf numFmtId="0" fontId="0" fillId="0" borderId="11" xfId="0" applyBorder="1" applyAlignment="1">
      <alignment horizontal="center" vertical="center" wrapText="1"/>
    </xf>
    <xf numFmtId="0" fontId="11" fillId="3" borderId="3" xfId="0" applyFont="1" applyFill="1" applyBorder="1" applyAlignment="1">
      <alignment vertical="center" wrapText="1"/>
    </xf>
    <xf numFmtId="0" fontId="0" fillId="0" borderId="15" xfId="0" applyBorder="1" applyAlignment="1">
      <alignment vertical="top" wrapText="1"/>
    </xf>
    <xf numFmtId="9" fontId="0" fillId="6" borderId="3" xfId="0" applyNumberFormat="1" applyFill="1" applyBorder="1" applyAlignment="1">
      <alignment vertical="center"/>
    </xf>
    <xf numFmtId="9" fontId="0" fillId="7" borderId="3" xfId="0" applyNumberFormat="1" applyFill="1" applyBorder="1" applyAlignment="1">
      <alignment vertical="center"/>
    </xf>
    <xf numFmtId="0" fontId="0" fillId="4" borderId="3" xfId="0" applyFill="1" applyBorder="1" applyAlignment="1">
      <alignment vertical="center" wrapText="1"/>
    </xf>
    <xf numFmtId="0" fontId="8" fillId="4" borderId="3" xfId="0" applyFont="1" applyFill="1" applyBorder="1" applyAlignment="1">
      <alignment vertical="center" wrapText="1"/>
    </xf>
    <xf numFmtId="9" fontId="0" fillId="8" borderId="3" xfId="0" applyNumberFormat="1" applyFill="1" applyBorder="1" applyAlignment="1">
      <alignment vertical="center"/>
    </xf>
    <xf numFmtId="0" fontId="0" fillId="0" borderId="18" xfId="0" applyBorder="1" applyAlignment="1">
      <alignment vertical="top" wrapText="1"/>
    </xf>
    <xf numFmtId="0" fontId="0" fillId="0" borderId="23" xfId="0" applyBorder="1"/>
    <xf numFmtId="0" fontId="3" fillId="0" borderId="23" xfId="0" applyFont="1" applyBorder="1" applyAlignment="1">
      <alignment horizontal="center" vertical="center" wrapText="1"/>
    </xf>
    <xf numFmtId="0" fontId="3" fillId="3" borderId="23" xfId="0" applyFont="1" applyFill="1" applyBorder="1" applyAlignment="1">
      <alignment horizontal="center" vertical="center" wrapText="1"/>
    </xf>
    <xf numFmtId="0" fontId="0" fillId="0" borderId="23" xfId="0" applyBorder="1" applyAlignment="1">
      <alignment vertical="center" wrapText="1"/>
    </xf>
    <xf numFmtId="0" fontId="0" fillId="0" borderId="23" xfId="0" applyBorder="1" applyAlignment="1">
      <alignment horizontal="center" vertical="center" wrapText="1"/>
    </xf>
    <xf numFmtId="0" fontId="0" fillId="5" borderId="23" xfId="0" applyFill="1" applyBorder="1" applyAlignment="1">
      <alignment horizontal="center" vertical="center" wrapText="1"/>
    </xf>
    <xf numFmtId="0" fontId="0" fillId="6" borderId="23" xfId="0" applyFill="1" applyBorder="1" applyAlignment="1">
      <alignment horizontal="center" vertical="center" wrapText="1"/>
    </xf>
    <xf numFmtId="0" fontId="8" fillId="0" borderId="23" xfId="0" applyFont="1" applyBorder="1" applyAlignment="1">
      <alignment vertical="center" wrapText="1"/>
    </xf>
    <xf numFmtId="0" fontId="1" fillId="3" borderId="23" xfId="0" applyFont="1" applyFill="1" applyBorder="1" applyAlignment="1">
      <alignment vertical="center"/>
    </xf>
    <xf numFmtId="0" fontId="2" fillId="4" borderId="23" xfId="0" applyFont="1" applyFill="1" applyBorder="1" applyAlignment="1">
      <alignment vertical="center"/>
    </xf>
    <xf numFmtId="0" fontId="0" fillId="0" borderId="2" xfId="0" applyBorder="1" applyAlignment="1">
      <alignment horizontal="center" vertical="top" wrapText="1"/>
    </xf>
    <xf numFmtId="0" fontId="0" fillId="4" borderId="4" xfId="0" applyFill="1" applyBorder="1" applyAlignment="1">
      <alignment vertical="center" wrapText="1"/>
    </xf>
    <xf numFmtId="0" fontId="0" fillId="4" borderId="14" xfId="0" applyFill="1" applyBorder="1" applyAlignment="1">
      <alignment vertical="center" wrapText="1"/>
    </xf>
    <xf numFmtId="0" fontId="0" fillId="4" borderId="5" xfId="0" applyFill="1" applyBorder="1" applyAlignment="1">
      <alignment vertical="center" wrapText="1"/>
    </xf>
    <xf numFmtId="0" fontId="4" fillId="3" borderId="8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0" fillId="4" borderId="15" xfId="0" applyFill="1" applyBorder="1" applyAlignment="1">
      <alignment horizontal="center" vertical="center" wrapText="1"/>
    </xf>
    <xf numFmtId="0" fontId="0" fillId="4" borderId="9" xfId="0" applyFill="1" applyBorder="1" applyAlignment="1">
      <alignment horizontal="center" vertical="center" wrapText="1"/>
    </xf>
    <xf numFmtId="0" fontId="0" fillId="4" borderId="16" xfId="0" applyFill="1" applyBorder="1" applyAlignment="1">
      <alignment horizontal="center" vertical="center" wrapText="1"/>
    </xf>
    <xf numFmtId="0" fontId="0" fillId="0" borderId="17" xfId="0" applyBorder="1" applyAlignment="1">
      <alignment vertical="center" wrapText="1"/>
    </xf>
    <xf numFmtId="0" fontId="0" fillId="0" borderId="18" xfId="0" applyBorder="1" applyAlignment="1">
      <alignment vertical="center" wrapText="1"/>
    </xf>
    <xf numFmtId="0" fontId="0" fillId="0" borderId="19" xfId="0" applyBorder="1" applyAlignment="1">
      <alignment vertical="center" wrapText="1"/>
    </xf>
    <xf numFmtId="0" fontId="0" fillId="0" borderId="6" xfId="0" applyBorder="1" applyAlignment="1">
      <alignment vertical="center" wrapText="1"/>
    </xf>
    <xf numFmtId="0" fontId="0" fillId="0" borderId="2" xfId="0" applyBorder="1" applyAlignment="1">
      <alignment vertical="center" wrapText="1"/>
    </xf>
    <xf numFmtId="0" fontId="0" fillId="0" borderId="7" xfId="0" applyBorder="1" applyAlignment="1">
      <alignment vertical="center" wrapText="1"/>
    </xf>
    <xf numFmtId="0" fontId="0" fillId="0" borderId="20" xfId="0" applyBorder="1" applyAlignment="1">
      <alignment vertical="center" wrapText="1"/>
    </xf>
    <xf numFmtId="0" fontId="0" fillId="0" borderId="21" xfId="0" applyBorder="1" applyAlignment="1">
      <alignment vertical="center" wrapText="1"/>
    </xf>
    <xf numFmtId="0" fontId="0" fillId="0" borderId="22" xfId="0" applyBorder="1" applyAlignment="1">
      <alignment vertical="center" wrapText="1"/>
    </xf>
    <xf numFmtId="0" fontId="4" fillId="3" borderId="1" xfId="0" applyFont="1" applyFill="1" applyBorder="1" applyAlignment="1">
      <alignment vertical="center" wrapText="1"/>
    </xf>
    <xf numFmtId="0" fontId="6" fillId="3" borderId="1" xfId="0" applyFont="1" applyFill="1" applyBorder="1" applyAlignment="1">
      <alignment vertical="center" wrapText="1"/>
    </xf>
    <xf numFmtId="0" fontId="0" fillId="0" borderId="12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3" xfId="0" applyFont="1" applyBorder="1" applyAlignment="1">
      <alignment horizontal="center" vertical="center" wrapText="1"/>
    </xf>
  </cellXfs>
  <cellStyles count="1">
    <cellStyle name="Normal" xfId="0" builtinId="0"/>
  </cellStyles>
  <dxfs count="46">
    <dxf>
      <alignment horizontal="center" vertical="center" textRotation="0" wrapText="1" indent="0" justifyLastLine="0" shrinkToFit="0" readingOrder="0"/>
      <border diagonalUp="0" diagonalDown="0" outline="0"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</border>
    </dxf>
    <dxf>
      <alignment horizontal="center" vertical="center" textRotation="0" wrapText="1" indent="0" justifyLastLine="0" shrinkToFit="0" readingOrder="0"/>
      <border diagonalUp="0" diagonalDown="0" outline="0"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</border>
    </dxf>
    <dxf>
      <alignment horizontal="center" vertical="center" textRotation="0" wrapText="1" indent="0" justifyLastLine="0" shrinkToFit="0" readingOrder="0"/>
      <border diagonalUp="0" diagonalDown="0" outline="0"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</border>
    </dxf>
    <dxf>
      <alignment vertical="center" textRotation="0" indent="0" justifyLastLine="0" shrinkToFit="0" readingOrder="0"/>
      <border diagonalUp="0" diagonalDown="0" outline="0"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</border>
    </dxf>
    <dxf>
      <alignment horizontal="center" vertical="center" textRotation="0" wrapText="1" indent="0" justifyLastLine="0" shrinkToFit="0" readingOrder="0"/>
      <border diagonalUp="0" diagonalDown="0" outline="0"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</border>
    </dxf>
    <dxf>
      <alignment horizontal="center" vertical="center" textRotation="0" wrapText="1" indent="0" justifyLastLine="0" shrinkToFit="0" readingOrder="0"/>
      <border diagonalUp="0" diagonalDown="0" outline="0"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</border>
    </dxf>
    <dxf>
      <alignment horizontal="center" vertical="center" textRotation="0" wrapText="1" indent="0" justifyLastLine="0" shrinkToFit="0" readingOrder="0"/>
      <border diagonalUp="0" diagonalDown="0" outline="0"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</border>
    </dxf>
    <dxf>
      <alignment vertical="center" textRotation="0" indent="0" justifyLastLine="0" shrinkToFit="0" readingOrder="0"/>
      <border diagonalUp="0" diagonalDown="0" outline="0"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</border>
    </dxf>
    <dxf>
      <fill>
        <patternFill patternType="solid">
          <bgColor rgb="FFF4CCCC"/>
        </patternFill>
      </fill>
    </dxf>
    <dxf>
      <fill>
        <patternFill patternType="solid">
          <bgColor rgb="FFFCE5CD"/>
        </patternFill>
      </fill>
    </dxf>
    <dxf>
      <fill>
        <patternFill patternType="solid">
          <bgColor rgb="FFFFF2CC"/>
        </patternFill>
      </fill>
    </dxf>
    <dxf>
      <fill>
        <patternFill patternType="solid">
          <bgColor rgb="FFD9EAD3"/>
        </patternFill>
      </fill>
    </dxf>
    <dxf>
      <fill>
        <patternFill patternType="solid">
          <bgColor rgb="FFF4CCCC"/>
        </patternFill>
      </fill>
    </dxf>
    <dxf>
      <fill>
        <patternFill patternType="solid">
          <bgColor rgb="FFFCE5CD"/>
        </patternFill>
      </fill>
    </dxf>
    <dxf>
      <fill>
        <patternFill patternType="solid">
          <bgColor rgb="FFFFF2CC"/>
        </patternFill>
      </fill>
    </dxf>
    <dxf>
      <fill>
        <patternFill patternType="solid">
          <bgColor rgb="FFD9EAD3"/>
        </patternFill>
      </fill>
    </dxf>
    <dxf>
      <alignment horizontal="general" vertical="center" textRotation="0" wrapText="1" indent="0" justifyLastLine="0" shrinkToFit="0" readingOrder="0"/>
      <border diagonalUp="0" diagonalDown="0" outline="0">
        <left style="thin">
          <color rgb="FFD9D9D9"/>
        </left>
        <right style="thin">
          <color rgb="FFD9D9D9"/>
        </right>
        <top/>
        <bottom/>
      </border>
    </dxf>
    <dxf>
      <alignment horizontal="general" vertical="center" textRotation="0" wrapText="1" indent="0" justifyLastLine="0" shrinkToFit="0" readingOrder="0"/>
      <border diagonalUp="0" diagonalDown="0" outline="0">
        <left style="thin">
          <color rgb="FFD9D9D9"/>
        </left>
        <right style="thin">
          <color rgb="FFD9D9D9"/>
        </right>
        <top/>
        <bottom/>
      </border>
    </dxf>
    <dxf>
      <alignment horizontal="general" vertical="center" textRotation="0" wrapText="1" indent="0" justifyLastLine="0" shrinkToFit="0" readingOrder="0"/>
      <border diagonalUp="0" diagonalDown="0" outline="0">
        <left style="thin">
          <color rgb="FFD9D9D9"/>
        </left>
        <right style="thin">
          <color rgb="FFD9D9D9"/>
        </right>
        <top/>
        <bottom/>
      </border>
    </dxf>
    <dxf>
      <alignment horizontal="general" vertical="center" textRotation="0" wrapText="1" indent="0" justifyLastLine="0" shrinkToFit="0" readingOrder="0"/>
      <border diagonalUp="0" diagonalDown="0" outline="0">
        <left style="thin">
          <color rgb="FFD9D9D9"/>
        </left>
        <right style="thin">
          <color rgb="FFD9D9D9"/>
        </right>
        <top/>
        <bottom/>
      </border>
    </dxf>
    <dxf>
      <alignment horizontal="general" vertical="center" textRotation="0" wrapText="1" indent="0" justifyLastLine="0" shrinkToFit="0" readingOrder="0"/>
      <border diagonalUp="0" diagonalDown="0" outline="0">
        <left style="thin">
          <color rgb="FFD9D9D9"/>
        </left>
        <right style="thin">
          <color rgb="FFD9D9D9"/>
        </right>
        <top/>
        <bottom/>
      </border>
    </dxf>
    <dxf>
      <alignment horizontal="general" vertical="center" textRotation="0" wrapText="1" indent="0" justifyLastLine="0" shrinkToFit="0" readingOrder="0"/>
    </dxf>
    <dxf>
      <border>
        <bottom style="thin">
          <color auto="1"/>
        </bottom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/>
        <vertical style="thin">
          <color auto="1"/>
        </vertical>
        <horizontal/>
      </border>
    </dxf>
    <dxf>
      <alignment vertical="center" textRotation="0" indent="0" justifyLastLine="0" shrinkToFit="0" readingOrder="0"/>
      <border diagonalUp="0" diagonalDown="0">
        <left style="thin">
          <color theme="0" tint="-0.14996795556505021"/>
        </left>
        <right/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alignment vertical="center" textRotation="0" indent="0" justifyLastLine="0" shrinkToFit="0" readingOrder="0"/>
      <border diagonalUp="0" diagonalDown="0"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alignment vertical="center" textRotation="0" indent="0" justifyLastLine="0" shrinkToFit="0" readingOrder="0"/>
      <border diagonalUp="0" diagonalDown="0"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alignment vertical="center" textRotation="0" indent="0" justifyLastLine="0" shrinkToFit="0" readingOrder="0"/>
      <border diagonalUp="0" diagonalDown="0"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alignment vertical="center" textRotation="0" indent="0" justifyLastLine="0" shrinkToFit="0" readingOrder="0"/>
      <border diagonalUp="0" diagonalDown="0"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alignment vertical="center" textRotation="0" indent="0" justifyLastLine="0" shrinkToFit="0" readingOrder="0"/>
      <border diagonalUp="0" diagonalDown="0"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alignment vertical="center" textRotation="0" indent="0" justifyLastLine="0" shrinkToFit="0" readingOrder="0"/>
      <border diagonalUp="0" diagonalDown="0"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alignment vertical="center" textRotation="0" indent="0" justifyLastLine="0" shrinkToFit="0" readingOrder="0"/>
      <border diagonalUp="0" diagonalDown="0"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alignment vertical="center" textRotation="0" indent="0" justifyLastLine="0" shrinkToFit="0" readingOrder="0"/>
      <border diagonalUp="0" diagonalDown="0"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alignment vertical="center" textRotation="0" indent="0" justifyLastLine="0" shrinkToFit="0" readingOrder="0"/>
      <border diagonalUp="0" diagonalDown="0">
        <left/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border diagonalUp="0" diagonalDown="0">
        <left style="thin">
          <color theme="0" tint="-0.14996795556505021"/>
        </left>
        <right style="thin">
          <color theme="0" tint="-0.14996795556505021"/>
        </right>
        <top/>
        <bottom/>
        <vertical style="thin">
          <color theme="0" tint="-0.14996795556505021"/>
        </vertical>
        <horizontal style="thin">
          <color theme="0" tint="-0.14996795556505021"/>
        </horizontal>
      </border>
    </dxf>
    <dxf>
      <alignment vertical="center" textRotation="0" indent="0" justifyLastLine="0" shrinkToFit="0" readingOrder="0"/>
    </dxf>
    <dxf>
      <border diagonalUp="0" diagonalDown="0">
        <left style="thin">
          <color theme="0" tint="-0.14996795556505021"/>
        </left>
        <right style="thin">
          <color theme="0" tint="-0.14996795556505021"/>
        </right>
        <top/>
        <bottom/>
        <vertical style="thin">
          <color theme="0" tint="-0.14996795556505021"/>
        </vertical>
        <horizontal style="thin">
          <color theme="0" tint="-0.14996795556505021"/>
        </horizontal>
      </border>
    </dxf>
    <dxf>
      <border diagonalUp="0" diagonalDown="0">
        <left style="thin">
          <color rgb="FFD9D9D9"/>
        </left>
        <right style="thin">
          <color rgb="FFD9D9D9"/>
        </right>
        <top/>
        <bottom/>
        <vertical style="thin">
          <color rgb="FFD9D9D9"/>
        </vertical>
        <horizontal/>
      </border>
    </dxf>
    <dxf>
      <border diagonalUp="0" diagonalDown="0">
        <left style="thin">
          <color rgb="FFD9D9D9"/>
        </left>
        <right style="thin">
          <color rgb="FFD9D9D9"/>
        </right>
        <top/>
        <bottom/>
        <vertical style="thin">
          <color rgb="FFD9D9D9"/>
        </vertical>
        <horizontal/>
      </border>
    </dxf>
    <dxf>
      <border diagonalUp="0" diagonalDown="0">
        <left style="thin">
          <color rgb="FFD9D9D9"/>
        </left>
        <right style="thin">
          <color rgb="FFD9D9D9"/>
        </right>
        <top/>
        <bottom/>
        <vertical style="thin">
          <color rgb="FFD9D9D9"/>
        </vertical>
        <horizontal/>
      </border>
    </dxf>
    <dxf>
      <border diagonalUp="0" diagonalDown="0">
        <left style="thin">
          <color rgb="FFD9D9D9"/>
        </left>
        <right style="thin">
          <color rgb="FFD9D9D9"/>
        </right>
        <top/>
        <bottom/>
        <vertical style="thin">
          <color rgb="FFD9D9D9"/>
        </vertical>
        <horizontal/>
      </border>
    </dxf>
    <dxf>
      <border diagonalUp="0" diagonalDown="0">
        <left style="thin">
          <color rgb="FFD9D9D9"/>
        </left>
        <right style="thin">
          <color rgb="FFD9D9D9"/>
        </right>
        <top/>
        <bottom/>
        <vertical style="thin">
          <color rgb="FFD9D9D9"/>
        </vertical>
        <horizontal/>
      </border>
    </dxf>
    <dxf>
      <border diagonalUp="0" diagonalDown="0">
        <left style="thin">
          <color rgb="FFD9D9D9"/>
        </left>
        <right style="thin">
          <color rgb="FFD9D9D9"/>
        </right>
        <top/>
        <bottom/>
        <vertical style="thin">
          <color rgb="FFD9D9D9"/>
        </vertical>
        <horizontal/>
      </border>
    </dxf>
    <dxf>
      <alignment horizontal="general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OscorpRiskRegister" displayName="OscorpRiskRegister" ref="A4:T19" headerRowDxfId="38" dataDxfId="37" totalsRowDxfId="36">
  <autoFilter ref="A4:T19" xr:uid="{00000000-0009-0000-0100-000001000000}"/>
  <tableColumns count="20">
    <tableColumn id="1" xr3:uid="{00000000-0010-0000-0000-000001000000}" name="Risk ID" dataDxfId="35"/>
    <tableColumn id="2" xr3:uid="{00000000-0010-0000-0000-000002000000}" name="Risk Area" dataDxfId="34"/>
    <tableColumn id="3" xr3:uid="{00000000-0010-0000-0000-000003000000}" name="Risk Title" dataDxfId="33"/>
    <tableColumn id="4" xr3:uid="{00000000-0010-0000-0000-000004000000}" name="Risk Description" dataDxfId="32"/>
    <tableColumn id="5" xr3:uid="{00000000-0010-0000-0000-000005000000}" name="Primary Impact" dataDxfId="7"/>
    <tableColumn id="6" xr3:uid="{00000000-0010-0000-0000-000006000000}" name="Inherent Likelihood" dataDxfId="6"/>
    <tableColumn id="7" xr3:uid="{00000000-0010-0000-0000-000007000000}" name="Inherent Impact" dataDxfId="4"/>
    <tableColumn id="8" xr3:uid="{00000000-0010-0000-0000-000008000000}" name="Inherent Score" dataDxfId="5"/>
    <tableColumn id="9" xr3:uid="{00000000-0010-0000-0000-000009000000}" name="Treatment" dataDxfId="31"/>
    <tableColumn id="10" xr3:uid="{00000000-0010-0000-0000-00000A000000}" name="Treatment Plan" dataDxfId="30"/>
    <tableColumn id="11" xr3:uid="{00000000-0010-0000-0000-00000B000000}" name="Risk Owner" dataDxfId="29"/>
    <tableColumn id="12" xr3:uid="{00000000-0010-0000-0000-00000C000000}" name="NIST CSF Function" dataDxfId="28"/>
    <tableColumn id="13" xr3:uid="{00000000-0010-0000-0000-00000D000000}" name="NIST CSF Category" dataDxfId="3"/>
    <tableColumn id="21" xr3:uid="{591AE800-C13E-4A9A-A9CF-2F96F17ED4A9}" name="Residual Likelihood" dataDxfId="2"/>
    <tableColumn id="22" xr3:uid="{1DB61EA1-4BB3-4B93-A45C-57D75BA9BE07}" name="Residual Impact" dataDxfId="0"/>
    <tableColumn id="14" xr3:uid="{00000000-0010-0000-0000-00000E000000}" name="Residual Rating" dataDxfId="1"/>
    <tableColumn id="15" xr3:uid="{00000000-0010-0000-0000-00000F000000}" name="Residual Score" dataDxfId="27">
      <calculatedColumnFormula array="1">IF(N5="Very Low",1,IF(N5="Low",2,IF(UN="Moderate",3,IF(N5="High",4,IF(N5="Very High",5,0)))))*IF(O5="Very Low",1,IF(O5="Low",2,IF(O5="Moderate",3,IF(O5="High",4,IF(O5="Very High",5,0)))))</calculatedColumnFormula>
    </tableColumn>
    <tableColumn id="16" xr3:uid="{00000000-0010-0000-0000-000010000000}" name="Priority" dataDxfId="26"/>
    <tableColumn id="17" xr3:uid="{00000000-0010-0000-0000-000011000000}" name="Target" dataDxfId="25"/>
    <tableColumn id="18" xr3:uid="{00000000-0010-0000-0000-000012000000}" name="Business Rationale" dataDxfId="24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RiskTraceability" displayName="RiskTraceability" ref="A1:F16" headerRowDxfId="45">
  <autoFilter ref="A1:F16" xr:uid="{00000000-0009-0000-0100-000002000000}"/>
  <tableColumns count="6">
    <tableColumn id="1" xr3:uid="{00000000-0010-0000-0100-000001000000}" name="Risk ID" dataDxfId="44"/>
    <tableColumn id="2" xr3:uid="{00000000-0010-0000-0100-000002000000}" name="Source NIST Function" dataDxfId="43"/>
    <tableColumn id="3" xr3:uid="{00000000-0010-0000-0100-000003000000}" name="Source Control Description / Finding" dataDxfId="42"/>
    <tableColumn id="4" xr3:uid="{00000000-0010-0000-0100-000004000000}" name="Assessment Status" dataDxfId="41"/>
    <tableColumn id="5" xr3:uid="{00000000-0010-0000-0100-000005000000}" name="Assessment Comment / Evidence" dataDxfId="40"/>
    <tableColumn id="6" xr3:uid="{00000000-0010-0000-0100-000006000000}" name="How Converted to Risk" dataDxfId="39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RoadmapPriorities" displayName="RoadmapPriorities" ref="A1:E14" headerRowDxfId="23" dataDxfId="21" headerRowBorderDxfId="22">
  <autoFilter ref="A1:E14" xr:uid="{00000000-0009-0000-0100-000003000000}"/>
  <tableColumns count="5">
    <tableColumn id="1" xr3:uid="{00000000-0010-0000-0200-000001000000}" name="Priority" dataDxfId="20"/>
    <tableColumn id="2" xr3:uid="{00000000-0010-0000-0200-000002000000}" name="Risk ID" dataDxfId="19"/>
    <tableColumn id="3" xr3:uid="{00000000-0010-0000-0200-000003000000}" name="Initiative" dataDxfId="18"/>
    <tableColumn id="4" xr3:uid="{00000000-0010-0000-0200-000004000000}" name="Reason for Timing" dataDxfId="17"/>
    <tableColumn id="5" xr3:uid="{00000000-0010-0000-0200-000005000000}" name="Target" dataDxfId="16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9"/>
  <sheetViews>
    <sheetView showGridLines="0" tabSelected="1" zoomScale="96" zoomScaleNormal="96" workbookViewId="0">
      <selection activeCell="K8" sqref="K8"/>
    </sheetView>
  </sheetViews>
  <sheetFormatPr defaultRowHeight="15" x14ac:dyDescent="0.25"/>
  <cols>
    <col min="1" max="1" width="10" customWidth="1"/>
    <col min="2" max="2" width="24" customWidth="1"/>
    <col min="3" max="3" width="38" customWidth="1"/>
    <col min="4" max="4" width="62" customWidth="1"/>
    <col min="5" max="5" width="31" customWidth="1"/>
    <col min="6" max="6" width="21.42578125" customWidth="1"/>
    <col min="7" max="8" width="22.28515625" customWidth="1"/>
    <col min="9" max="9" width="14" customWidth="1"/>
    <col min="10" max="10" width="65" customWidth="1"/>
    <col min="11" max="11" width="28" customWidth="1"/>
    <col min="12" max="12" width="24.140625" customWidth="1"/>
    <col min="13" max="13" width="34" customWidth="1"/>
    <col min="14" max="14" width="23.28515625" customWidth="1"/>
    <col min="15" max="15" width="18.42578125" customWidth="1"/>
    <col min="16" max="16" width="14" customWidth="1"/>
    <col min="17" max="17" width="20" customWidth="1"/>
    <col min="18" max="18" width="19.28515625" customWidth="1"/>
    <col min="19" max="19" width="18" customWidth="1"/>
    <col min="20" max="20" width="51.140625" customWidth="1"/>
    <col min="21" max="21" width="16.28515625" hidden="1" customWidth="1"/>
    <col min="22" max="22" width="18.42578125" hidden="1" customWidth="1"/>
  </cols>
  <sheetData>
    <row r="1" spans="1:22" ht="29.25" customHeight="1" x14ac:dyDescent="0.25">
      <c r="A1" s="38" t="s">
        <v>0</v>
      </c>
      <c r="B1" s="38"/>
      <c r="C1" s="38"/>
      <c r="D1" s="38"/>
      <c r="E1" s="38"/>
      <c r="F1" s="38"/>
      <c r="G1" s="38"/>
      <c r="H1" s="38"/>
      <c r="I1" s="38"/>
      <c r="J1" s="38"/>
      <c r="K1" s="38"/>
      <c r="L1" s="38"/>
      <c r="M1" s="38"/>
      <c r="N1" s="38"/>
      <c r="O1" s="38"/>
      <c r="P1" s="38"/>
      <c r="Q1" s="38"/>
      <c r="R1" s="38"/>
      <c r="S1" s="38"/>
      <c r="T1" s="38"/>
    </row>
    <row r="2" spans="1:22" ht="21" customHeight="1" x14ac:dyDescent="0.25">
      <c r="A2" s="39" t="s">
        <v>1</v>
      </c>
      <c r="B2" s="39"/>
      <c r="C2" s="39"/>
      <c r="D2" s="39"/>
      <c r="E2" s="39"/>
      <c r="F2" s="39"/>
      <c r="G2" s="39"/>
      <c r="H2" s="39"/>
      <c r="I2" s="39"/>
      <c r="J2" s="39"/>
      <c r="K2" s="39"/>
      <c r="L2" s="39"/>
      <c r="M2" s="39"/>
      <c r="N2" s="39"/>
      <c r="O2" s="39"/>
      <c r="P2" s="39"/>
      <c r="Q2" s="39"/>
      <c r="R2" s="39"/>
      <c r="S2" s="39"/>
      <c r="T2" s="39"/>
    </row>
    <row r="3" spans="1:22" x14ac:dyDescent="0.25">
      <c r="A3" s="30"/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</row>
    <row r="4" spans="1:22" ht="30" x14ac:dyDescent="0.25">
      <c r="A4" s="31" t="s">
        <v>2</v>
      </c>
      <c r="B4" s="31" t="s">
        <v>301</v>
      </c>
      <c r="C4" s="31" t="s">
        <v>3</v>
      </c>
      <c r="D4" s="31" t="s">
        <v>4</v>
      </c>
      <c r="E4" s="31" t="s">
        <v>5</v>
      </c>
      <c r="F4" s="31" t="s">
        <v>6</v>
      </c>
      <c r="G4" s="31" t="s">
        <v>7</v>
      </c>
      <c r="H4" s="31" t="s">
        <v>8</v>
      </c>
      <c r="I4" s="31" t="s">
        <v>9</v>
      </c>
      <c r="J4" s="31" t="s">
        <v>10</v>
      </c>
      <c r="K4" s="31" t="s">
        <v>11</v>
      </c>
      <c r="L4" s="31" t="s">
        <v>12</v>
      </c>
      <c r="M4" s="31" t="s">
        <v>13</v>
      </c>
      <c r="N4" s="32" t="s">
        <v>19</v>
      </c>
      <c r="O4" s="32" t="s">
        <v>20</v>
      </c>
      <c r="P4" s="31" t="s">
        <v>14</v>
      </c>
      <c r="Q4" s="31" t="s">
        <v>15</v>
      </c>
      <c r="R4" s="31" t="s">
        <v>16</v>
      </c>
      <c r="S4" s="31" t="s">
        <v>17</v>
      </c>
      <c r="T4" s="31" t="s">
        <v>18</v>
      </c>
      <c r="U4" s="3" t="s">
        <v>19</v>
      </c>
      <c r="V4" s="3" t="s">
        <v>20</v>
      </c>
    </row>
    <row r="5" spans="1:22" s="8" customFormat="1" ht="87.95" customHeight="1" x14ac:dyDescent="0.25">
      <c r="A5" s="33" t="s">
        <v>21</v>
      </c>
      <c r="B5" s="37" t="s">
        <v>302</v>
      </c>
      <c r="C5" s="33" t="s">
        <v>22</v>
      </c>
      <c r="D5" s="33" t="s">
        <v>23</v>
      </c>
      <c r="E5" s="33" t="s">
        <v>24</v>
      </c>
      <c r="F5" s="34" t="s">
        <v>25</v>
      </c>
      <c r="G5" s="34" t="s">
        <v>25</v>
      </c>
      <c r="H5" s="34">
        <f t="shared" ref="H5:H19" si="0">IF(F5="Very Low",1,IF(F5="Low",2,IF(OR(F5="Moderate",F5="Medium"),3,IF(F5="High",4,IF(F5="Very High",5,0)))))*IF(G5="Very Low",1,IF(G5="Low",2,IF(OR(G5="Moderate",G5="Medium"),3,IF(G5="High",4,IF(G5="Very High",5,0)))))</f>
        <v>16</v>
      </c>
      <c r="I5" s="34" t="s">
        <v>26</v>
      </c>
      <c r="J5" s="33" t="s">
        <v>27</v>
      </c>
      <c r="K5" s="33" t="s">
        <v>28</v>
      </c>
      <c r="L5" s="33" t="s">
        <v>29</v>
      </c>
      <c r="M5" s="33" t="s">
        <v>30</v>
      </c>
      <c r="N5" s="34" t="s">
        <v>34</v>
      </c>
      <c r="O5" s="34" t="s">
        <v>35</v>
      </c>
      <c r="P5" s="34" t="str">
        <f t="shared" ref="P5:P19" si="1">IF(Q5&lt;=4,"Low",IF(Q5&lt;=9,"Moderate",IF(Q5&lt;=16,"High","Critical")))</f>
        <v>High</v>
      </c>
      <c r="Q5" s="35" cm="1">
        <f t="array" ref="Q5">IF(N5="Very Low",1,IF(N5="Low",2,IF(UN="Moderate",3,IF(N5="High",4,IF(N5="Very High",5,0)))))*IF(O5="Very Low",1,IF(O5="Low",2,IF(O5="Moderate",3,IF(O5="High",4,IF(O5="Very High",5,0)))))</f>
        <v>10</v>
      </c>
      <c r="R5" s="36" t="s">
        <v>31</v>
      </c>
      <c r="S5" s="33" t="s">
        <v>32</v>
      </c>
      <c r="T5" s="33" t="s">
        <v>33</v>
      </c>
      <c r="U5" s="7" t="s">
        <v>34</v>
      </c>
      <c r="V5" s="7" t="s">
        <v>35</v>
      </c>
    </row>
    <row r="6" spans="1:22" s="8" customFormat="1" ht="87.95" customHeight="1" x14ac:dyDescent="0.25">
      <c r="A6" s="33" t="s">
        <v>36</v>
      </c>
      <c r="B6" s="33" t="s">
        <v>37</v>
      </c>
      <c r="C6" s="33" t="s">
        <v>38</v>
      </c>
      <c r="D6" s="33" t="s">
        <v>39</v>
      </c>
      <c r="E6" s="33" t="s">
        <v>40</v>
      </c>
      <c r="F6" s="34" t="s">
        <v>25</v>
      </c>
      <c r="G6" s="34" t="s">
        <v>25</v>
      </c>
      <c r="H6" s="34">
        <f t="shared" si="0"/>
        <v>16</v>
      </c>
      <c r="I6" s="34" t="s">
        <v>26</v>
      </c>
      <c r="J6" s="33" t="s">
        <v>41</v>
      </c>
      <c r="K6" s="33" t="s">
        <v>28</v>
      </c>
      <c r="L6" s="33" t="s">
        <v>29</v>
      </c>
      <c r="M6" s="33" t="s">
        <v>42</v>
      </c>
      <c r="N6" s="34" t="s">
        <v>34</v>
      </c>
      <c r="O6" s="34" t="s">
        <v>25</v>
      </c>
      <c r="P6" s="34" t="str">
        <f t="shared" si="1"/>
        <v>Moderate</v>
      </c>
      <c r="Q6" s="35" cm="1">
        <f t="array" ref="Q6">IF(N6="Very Low",1,IF(N6="Low",2,IF(UN="Moderate",3,IF(N6="High",4,IF(N6="Very High",5,0)))))*IF(O6="Very Low",1,IF(O6="Low",2,IF(O6="Moderate",3,IF(O6="High",4,IF(O6="Very High",5,0)))))</f>
        <v>8</v>
      </c>
      <c r="R6" s="36" t="s">
        <v>31</v>
      </c>
      <c r="S6" s="33" t="s">
        <v>32</v>
      </c>
      <c r="T6" s="33" t="s">
        <v>43</v>
      </c>
      <c r="U6" s="7" t="s">
        <v>34</v>
      </c>
      <c r="V6" s="7" t="s">
        <v>25</v>
      </c>
    </row>
    <row r="7" spans="1:22" s="8" customFormat="1" ht="87.95" customHeight="1" x14ac:dyDescent="0.25">
      <c r="A7" s="33" t="s">
        <v>44</v>
      </c>
      <c r="B7" s="33" t="s">
        <v>45</v>
      </c>
      <c r="C7" s="33" t="s">
        <v>46</v>
      </c>
      <c r="D7" s="33" t="s">
        <v>47</v>
      </c>
      <c r="E7" s="33" t="s">
        <v>40</v>
      </c>
      <c r="F7" s="34" t="s">
        <v>25</v>
      </c>
      <c r="G7" s="34" t="s">
        <v>25</v>
      </c>
      <c r="H7" s="34">
        <f t="shared" si="0"/>
        <v>16</v>
      </c>
      <c r="I7" s="34" t="s">
        <v>26</v>
      </c>
      <c r="J7" s="33" t="s">
        <v>48</v>
      </c>
      <c r="K7" s="33" t="s">
        <v>49</v>
      </c>
      <c r="L7" s="33" t="s">
        <v>29</v>
      </c>
      <c r="M7" s="33" t="s">
        <v>50</v>
      </c>
      <c r="N7" s="34" t="s">
        <v>34</v>
      </c>
      <c r="O7" s="34" t="s">
        <v>25</v>
      </c>
      <c r="P7" s="34" t="str">
        <f t="shared" si="1"/>
        <v>Moderate</v>
      </c>
      <c r="Q7" s="35" cm="1">
        <f t="array" ref="Q7">IF(N7="Very Low",1,IF(N7="Low",2,IF(UN="Moderate",3,IF(N7="High",4,IF(N7="Very High",5,0)))))*IF(O7="Very Low",1,IF(O7="Low",2,IF(O7="Moderate",3,IF(O7="High",4,IF(O7="Very High",5,0)))))</f>
        <v>8</v>
      </c>
      <c r="R7" s="34" t="s">
        <v>25</v>
      </c>
      <c r="S7" s="33" t="s">
        <v>51</v>
      </c>
      <c r="T7" s="33" t="s">
        <v>52</v>
      </c>
      <c r="U7" s="7" t="s">
        <v>34</v>
      </c>
      <c r="V7" s="7" t="s">
        <v>25</v>
      </c>
    </row>
    <row r="8" spans="1:22" s="8" customFormat="1" ht="87.95" customHeight="1" x14ac:dyDescent="0.25">
      <c r="A8" s="33" t="s">
        <v>53</v>
      </c>
      <c r="B8" s="33" t="s">
        <v>54</v>
      </c>
      <c r="C8" s="33" t="s">
        <v>55</v>
      </c>
      <c r="D8" s="33" t="s">
        <v>56</v>
      </c>
      <c r="E8" s="33" t="s">
        <v>57</v>
      </c>
      <c r="F8" s="34" t="s">
        <v>25</v>
      </c>
      <c r="G8" s="34" t="s">
        <v>25</v>
      </c>
      <c r="H8" s="34">
        <f t="shared" si="0"/>
        <v>16</v>
      </c>
      <c r="I8" s="34" t="s">
        <v>26</v>
      </c>
      <c r="J8" s="33" t="s">
        <v>58</v>
      </c>
      <c r="K8" s="33" t="s">
        <v>59</v>
      </c>
      <c r="L8" s="33" t="s">
        <v>29</v>
      </c>
      <c r="M8" s="33" t="s">
        <v>60</v>
      </c>
      <c r="N8" s="34" t="s">
        <v>34</v>
      </c>
      <c r="O8" s="34" t="s">
        <v>25</v>
      </c>
      <c r="P8" s="34" t="str">
        <f t="shared" si="1"/>
        <v>Moderate</v>
      </c>
      <c r="Q8" s="35" cm="1">
        <f t="array" ref="Q8">IF(N8="Very Low",1,IF(N8="Low",2,IF(UN="Moderate",3,IF(N8="High",4,IF(N8="Very High",5,0)))))*IF(O8="Very Low",1,IF(O8="Low",2,IF(O8="Moderate",3,IF(O8="High",4,IF(O8="Very High",5,0)))))</f>
        <v>8</v>
      </c>
      <c r="R8" s="34" t="s">
        <v>25</v>
      </c>
      <c r="S8" s="33" t="s">
        <v>61</v>
      </c>
      <c r="T8" s="33" t="s">
        <v>62</v>
      </c>
      <c r="U8" s="7" t="s">
        <v>34</v>
      </c>
      <c r="V8" s="7" t="s">
        <v>25</v>
      </c>
    </row>
    <row r="9" spans="1:22" s="8" customFormat="1" ht="87.95" customHeight="1" x14ac:dyDescent="0.25">
      <c r="A9" s="33" t="s">
        <v>63</v>
      </c>
      <c r="B9" s="33" t="s">
        <v>64</v>
      </c>
      <c r="C9" s="33" t="s">
        <v>65</v>
      </c>
      <c r="D9" s="33" t="s">
        <v>66</v>
      </c>
      <c r="E9" s="33" t="s">
        <v>40</v>
      </c>
      <c r="F9" s="34" t="s">
        <v>25</v>
      </c>
      <c r="G9" s="34" t="s">
        <v>25</v>
      </c>
      <c r="H9" s="34">
        <f t="shared" si="0"/>
        <v>16</v>
      </c>
      <c r="I9" s="34" t="s">
        <v>26</v>
      </c>
      <c r="J9" s="33" t="s">
        <v>67</v>
      </c>
      <c r="K9" s="33" t="s">
        <v>68</v>
      </c>
      <c r="L9" s="33" t="s">
        <v>29</v>
      </c>
      <c r="M9" s="33" t="s">
        <v>69</v>
      </c>
      <c r="N9" s="34" t="s">
        <v>34</v>
      </c>
      <c r="O9" s="34" t="s">
        <v>25</v>
      </c>
      <c r="P9" s="34" t="str">
        <f t="shared" si="1"/>
        <v>Moderate</v>
      </c>
      <c r="Q9" s="35" cm="1">
        <f t="array" ref="Q9">IF(N9="Very Low",1,IF(N9="Low",2,IF(UN="Moderate",3,IF(N9="High",4,IF(N9="Very High",5,0)))))*IF(O9="Very Low",1,IF(O9="Low",2,IF(O9="Moderate",3,IF(O9="High",4,IF(O9="Very High",5,0)))))</f>
        <v>8</v>
      </c>
      <c r="R9" s="36" t="s">
        <v>31</v>
      </c>
      <c r="S9" s="33" t="s">
        <v>70</v>
      </c>
      <c r="T9" s="33" t="s">
        <v>71</v>
      </c>
      <c r="U9" s="7" t="s">
        <v>34</v>
      </c>
      <c r="V9" s="7" t="s">
        <v>25</v>
      </c>
    </row>
    <row r="10" spans="1:22" s="8" customFormat="1" ht="87.95" customHeight="1" x14ac:dyDescent="0.25">
      <c r="A10" s="33" t="s">
        <v>72</v>
      </c>
      <c r="B10" s="33" t="s">
        <v>73</v>
      </c>
      <c r="C10" s="33" t="s">
        <v>74</v>
      </c>
      <c r="D10" s="33" t="s">
        <v>75</v>
      </c>
      <c r="E10" s="33" t="s">
        <v>76</v>
      </c>
      <c r="F10" s="34" t="s">
        <v>25</v>
      </c>
      <c r="G10" s="34" t="s">
        <v>25</v>
      </c>
      <c r="H10" s="34">
        <f t="shared" si="0"/>
        <v>16</v>
      </c>
      <c r="I10" s="34" t="s">
        <v>26</v>
      </c>
      <c r="J10" s="33" t="s">
        <v>77</v>
      </c>
      <c r="K10" s="33" t="s">
        <v>78</v>
      </c>
      <c r="L10" s="33" t="s">
        <v>29</v>
      </c>
      <c r="M10" s="33" t="s">
        <v>79</v>
      </c>
      <c r="N10" s="34" t="s">
        <v>34</v>
      </c>
      <c r="O10" s="34" t="s">
        <v>25</v>
      </c>
      <c r="P10" s="34" t="str">
        <f t="shared" si="1"/>
        <v>Moderate</v>
      </c>
      <c r="Q10" s="35" cm="1">
        <f t="array" ref="Q10">IF(N10="Very Low",1,IF(N10="Low",2,IF(UN="Moderate",3,IF(N10="High",4,IF(N10="Very High",5,0)))))*IF(O10="Very Low",1,IF(O10="Low",2,IF(O10="Moderate",3,IF(O10="High",4,IF(O10="Very High",5,0)))))</f>
        <v>8</v>
      </c>
      <c r="R10" s="34" t="s">
        <v>25</v>
      </c>
      <c r="S10" s="33" t="s">
        <v>61</v>
      </c>
      <c r="T10" s="33" t="s">
        <v>80</v>
      </c>
      <c r="U10" s="7" t="s">
        <v>34</v>
      </c>
      <c r="V10" s="7" t="s">
        <v>25</v>
      </c>
    </row>
    <row r="11" spans="1:22" s="8" customFormat="1" ht="87.95" customHeight="1" x14ac:dyDescent="0.25">
      <c r="A11" s="33" t="s">
        <v>81</v>
      </c>
      <c r="B11" s="33" t="s">
        <v>82</v>
      </c>
      <c r="C11" s="33" t="s">
        <v>83</v>
      </c>
      <c r="D11" s="33" t="s">
        <v>84</v>
      </c>
      <c r="E11" s="33" t="s">
        <v>57</v>
      </c>
      <c r="F11" s="34" t="s">
        <v>25</v>
      </c>
      <c r="G11" s="34" t="s">
        <v>25</v>
      </c>
      <c r="H11" s="34">
        <f t="shared" si="0"/>
        <v>16</v>
      </c>
      <c r="I11" s="34" t="s">
        <v>26</v>
      </c>
      <c r="J11" s="33" t="s">
        <v>85</v>
      </c>
      <c r="K11" s="33" t="s">
        <v>86</v>
      </c>
      <c r="L11" s="33" t="s">
        <v>87</v>
      </c>
      <c r="M11" s="33" t="s">
        <v>88</v>
      </c>
      <c r="N11" s="34" t="s">
        <v>34</v>
      </c>
      <c r="O11" s="34" t="s">
        <v>25</v>
      </c>
      <c r="P11" s="34" t="str">
        <f t="shared" si="1"/>
        <v>Moderate</v>
      </c>
      <c r="Q11" s="35" cm="1">
        <f t="array" ref="Q11">IF(N11="Very Low",1,IF(N11="Low",2,IF(UN="Moderate",3,IF(N11="High",4,IF(N11="Very High",5,0)))))*IF(O11="Very Low",1,IF(O11="Low",2,IF(O11="Moderate",3,IF(O11="High",4,IF(O11="Very High",5,0)))))</f>
        <v>8</v>
      </c>
      <c r="R11" s="36" t="s">
        <v>31</v>
      </c>
      <c r="S11" s="33" t="s">
        <v>70</v>
      </c>
      <c r="T11" s="33" t="s">
        <v>89</v>
      </c>
      <c r="U11" s="7" t="s">
        <v>34</v>
      </c>
      <c r="V11" s="7" t="s">
        <v>25</v>
      </c>
    </row>
    <row r="12" spans="1:22" s="8" customFormat="1" ht="87.95" customHeight="1" x14ac:dyDescent="0.25">
      <c r="A12" s="33" t="s">
        <v>90</v>
      </c>
      <c r="B12" s="33" t="s">
        <v>91</v>
      </c>
      <c r="C12" s="33" t="s">
        <v>92</v>
      </c>
      <c r="D12" s="33" t="s">
        <v>93</v>
      </c>
      <c r="E12" s="33" t="s">
        <v>57</v>
      </c>
      <c r="F12" s="34" t="s">
        <v>25</v>
      </c>
      <c r="G12" s="34" t="s">
        <v>25</v>
      </c>
      <c r="H12" s="34">
        <f t="shared" si="0"/>
        <v>16</v>
      </c>
      <c r="I12" s="34" t="s">
        <v>26</v>
      </c>
      <c r="J12" s="33" t="s">
        <v>94</v>
      </c>
      <c r="K12" s="33" t="s">
        <v>86</v>
      </c>
      <c r="L12" s="33" t="s">
        <v>87</v>
      </c>
      <c r="M12" s="33" t="s">
        <v>95</v>
      </c>
      <c r="N12" s="34" t="s">
        <v>34</v>
      </c>
      <c r="O12" s="34" t="s">
        <v>25</v>
      </c>
      <c r="P12" s="34" t="str">
        <f t="shared" si="1"/>
        <v>Moderate</v>
      </c>
      <c r="Q12" s="35" cm="1">
        <f t="array" ref="Q12">IF(N12="Very Low",1,IF(N12="Low",2,IF(UN="Moderate",3,IF(N12="High",4,IF(N12="Very High",5,0)))))*IF(O12="Very Low",1,IF(O12="Low",2,IF(O12="Moderate",3,IF(O12="High",4,IF(O12="Very High",5,0)))))</f>
        <v>8</v>
      </c>
      <c r="R12" s="34" t="s">
        <v>25</v>
      </c>
      <c r="S12" s="33" t="s">
        <v>96</v>
      </c>
      <c r="T12" s="33" t="s">
        <v>97</v>
      </c>
      <c r="U12" s="7" t="s">
        <v>34</v>
      </c>
      <c r="V12" s="7" t="s">
        <v>25</v>
      </c>
    </row>
    <row r="13" spans="1:22" s="8" customFormat="1" ht="87.95" customHeight="1" x14ac:dyDescent="0.25">
      <c r="A13" s="33" t="s">
        <v>98</v>
      </c>
      <c r="B13" s="33" t="s">
        <v>99</v>
      </c>
      <c r="C13" s="33" t="s">
        <v>100</v>
      </c>
      <c r="D13" s="33" t="s">
        <v>101</v>
      </c>
      <c r="E13" s="33" t="s">
        <v>102</v>
      </c>
      <c r="F13" s="34" t="s">
        <v>25</v>
      </c>
      <c r="G13" s="34" t="s">
        <v>25</v>
      </c>
      <c r="H13" s="34">
        <f t="shared" si="0"/>
        <v>16</v>
      </c>
      <c r="I13" s="34" t="s">
        <v>26</v>
      </c>
      <c r="J13" s="33" t="s">
        <v>103</v>
      </c>
      <c r="K13" s="33" t="s">
        <v>104</v>
      </c>
      <c r="L13" s="33" t="s">
        <v>87</v>
      </c>
      <c r="M13" s="33" t="s">
        <v>105</v>
      </c>
      <c r="N13" s="34" t="s">
        <v>34</v>
      </c>
      <c r="O13" s="34" t="s">
        <v>25</v>
      </c>
      <c r="P13" s="34" t="str">
        <f t="shared" si="1"/>
        <v>Moderate</v>
      </c>
      <c r="Q13" s="35" cm="1">
        <f t="array" ref="Q13">IF(N13="Very Low",1,IF(N13="Low",2,IF(UN="Moderate",3,IF(N13="High",4,IF(N13="Very High",5,0)))))*IF(O13="Very Low",1,IF(O13="Low",2,IF(O13="Moderate",3,IF(O13="High",4,IF(O13="Very High",5,0)))))</f>
        <v>8</v>
      </c>
      <c r="R13" s="36" t="s">
        <v>31</v>
      </c>
      <c r="S13" s="33" t="s">
        <v>106</v>
      </c>
      <c r="T13" s="33" t="s">
        <v>107</v>
      </c>
      <c r="U13" s="7" t="s">
        <v>34</v>
      </c>
      <c r="V13" s="7" t="s">
        <v>25</v>
      </c>
    </row>
    <row r="14" spans="1:22" s="8" customFormat="1" ht="87.95" customHeight="1" x14ac:dyDescent="0.25">
      <c r="A14" s="33" t="s">
        <v>108</v>
      </c>
      <c r="B14" s="33" t="s">
        <v>109</v>
      </c>
      <c r="C14" s="33" t="s">
        <v>110</v>
      </c>
      <c r="D14" s="33" t="s">
        <v>111</v>
      </c>
      <c r="E14" s="33" t="s">
        <v>112</v>
      </c>
      <c r="F14" s="34" t="s">
        <v>25</v>
      </c>
      <c r="G14" s="34" t="s">
        <v>25</v>
      </c>
      <c r="H14" s="34">
        <f t="shared" si="0"/>
        <v>16</v>
      </c>
      <c r="I14" s="34" t="s">
        <v>26</v>
      </c>
      <c r="J14" s="33" t="s">
        <v>113</v>
      </c>
      <c r="K14" s="33" t="s">
        <v>114</v>
      </c>
      <c r="L14" s="33" t="s">
        <v>87</v>
      </c>
      <c r="M14" s="33" t="s">
        <v>115</v>
      </c>
      <c r="N14" s="34" t="s">
        <v>34</v>
      </c>
      <c r="O14" s="34" t="s">
        <v>25</v>
      </c>
      <c r="P14" s="34" t="str">
        <f t="shared" si="1"/>
        <v>Moderate</v>
      </c>
      <c r="Q14" s="35" cm="1">
        <f t="array" ref="Q14">IF(N14="Very Low",1,IF(N14="Low",2,IF(UN="Moderate",3,IF(N14="High",4,IF(N14="Very High",5,0)))))*IF(O14="Very Low",1,IF(O14="Low",2,IF(O14="Moderate",3,IF(O14="High",4,IF(O14="Very High",5,0)))))</f>
        <v>8</v>
      </c>
      <c r="R14" s="34" t="s">
        <v>25</v>
      </c>
      <c r="S14" s="33" t="s">
        <v>116</v>
      </c>
      <c r="T14" s="33" t="s">
        <v>117</v>
      </c>
      <c r="U14" s="7" t="s">
        <v>34</v>
      </c>
      <c r="V14" s="7" t="s">
        <v>25</v>
      </c>
    </row>
    <row r="15" spans="1:22" s="8" customFormat="1" ht="87.95" customHeight="1" x14ac:dyDescent="0.25">
      <c r="A15" s="33" t="s">
        <v>118</v>
      </c>
      <c r="B15" s="33" t="s">
        <v>119</v>
      </c>
      <c r="C15" s="33" t="s">
        <v>120</v>
      </c>
      <c r="D15" s="33" t="s">
        <v>121</v>
      </c>
      <c r="E15" s="33" t="s">
        <v>40</v>
      </c>
      <c r="F15" s="34" t="s">
        <v>35</v>
      </c>
      <c r="G15" s="34" t="s">
        <v>25</v>
      </c>
      <c r="H15" s="34">
        <f t="shared" si="0"/>
        <v>20</v>
      </c>
      <c r="I15" s="34" t="s">
        <v>26</v>
      </c>
      <c r="J15" s="33" t="s">
        <v>122</v>
      </c>
      <c r="K15" s="33" t="s">
        <v>123</v>
      </c>
      <c r="L15" s="33" t="s">
        <v>124</v>
      </c>
      <c r="M15" s="33" t="s">
        <v>125</v>
      </c>
      <c r="N15" s="34" t="s">
        <v>34</v>
      </c>
      <c r="O15" s="34" t="s">
        <v>35</v>
      </c>
      <c r="P15" s="34" t="str">
        <f t="shared" si="1"/>
        <v>High</v>
      </c>
      <c r="Q15" s="35" cm="1">
        <f t="array" ref="Q15">IF(N15="Very Low",1,IF(N15="Low",2,IF(UN="Moderate",3,IF(N15="High",4,IF(N15="Very High",5,0)))))*IF(O15="Very Low",1,IF(O15="Low",2,IF(O15="Moderate",3,IF(O15="High",4,IF(O15="Very High",5,0)))))</f>
        <v>10</v>
      </c>
      <c r="R15" s="36" t="s">
        <v>31</v>
      </c>
      <c r="S15" s="33" t="s">
        <v>126</v>
      </c>
      <c r="T15" s="33" t="s">
        <v>127</v>
      </c>
      <c r="U15" s="7" t="s">
        <v>34</v>
      </c>
      <c r="V15" s="7" t="s">
        <v>35</v>
      </c>
    </row>
    <row r="16" spans="1:22" s="8" customFormat="1" ht="87.95" customHeight="1" x14ac:dyDescent="0.25">
      <c r="A16" s="33" t="s">
        <v>128</v>
      </c>
      <c r="B16" s="33" t="s">
        <v>129</v>
      </c>
      <c r="C16" s="33" t="s">
        <v>130</v>
      </c>
      <c r="D16" s="33" t="s">
        <v>131</v>
      </c>
      <c r="E16" s="33" t="s">
        <v>40</v>
      </c>
      <c r="F16" s="34" t="s">
        <v>25</v>
      </c>
      <c r="G16" s="34" t="s">
        <v>25</v>
      </c>
      <c r="H16" s="34">
        <f t="shared" si="0"/>
        <v>16</v>
      </c>
      <c r="I16" s="34" t="s">
        <v>26</v>
      </c>
      <c r="J16" s="33" t="s">
        <v>132</v>
      </c>
      <c r="K16" s="33" t="s">
        <v>133</v>
      </c>
      <c r="L16" s="33" t="s">
        <v>134</v>
      </c>
      <c r="M16" s="33" t="s">
        <v>135</v>
      </c>
      <c r="N16" s="34" t="s">
        <v>34</v>
      </c>
      <c r="O16" s="34" t="s">
        <v>25</v>
      </c>
      <c r="P16" s="34" t="str">
        <f t="shared" si="1"/>
        <v>Moderate</v>
      </c>
      <c r="Q16" s="35" cm="1">
        <f t="array" ref="Q16">IF(N16="Very Low",1,IF(N16="Low",2,IF(UN="Moderate",3,IF(N16="High",4,IF(N16="Very High",5,0)))))*IF(O16="Very Low",1,IF(O16="Low",2,IF(O16="Moderate",3,IF(O16="High",4,IF(O16="Very High",5,0)))))</f>
        <v>8</v>
      </c>
      <c r="R16" s="36" t="s">
        <v>31</v>
      </c>
      <c r="S16" s="33" t="s">
        <v>136</v>
      </c>
      <c r="T16" s="33" t="s">
        <v>137</v>
      </c>
      <c r="U16" s="7" t="s">
        <v>34</v>
      </c>
      <c r="V16" s="7" t="s">
        <v>25</v>
      </c>
    </row>
    <row r="17" spans="1:22" s="8" customFormat="1" ht="87.95" customHeight="1" x14ac:dyDescent="0.25">
      <c r="A17" s="33" t="s">
        <v>138</v>
      </c>
      <c r="B17" s="33" t="s">
        <v>139</v>
      </c>
      <c r="C17" s="33" t="s">
        <v>140</v>
      </c>
      <c r="D17" s="33" t="s">
        <v>141</v>
      </c>
      <c r="E17" s="33" t="s">
        <v>40</v>
      </c>
      <c r="F17" s="34" t="s">
        <v>35</v>
      </c>
      <c r="G17" s="34" t="s">
        <v>25</v>
      </c>
      <c r="H17" s="36">
        <f t="shared" si="0"/>
        <v>20</v>
      </c>
      <c r="I17" s="34" t="s">
        <v>26</v>
      </c>
      <c r="J17" s="33" t="s">
        <v>142</v>
      </c>
      <c r="K17" s="33" t="s">
        <v>143</v>
      </c>
      <c r="L17" s="33" t="s">
        <v>144</v>
      </c>
      <c r="M17" s="33" t="s">
        <v>145</v>
      </c>
      <c r="N17" s="34" t="s">
        <v>34</v>
      </c>
      <c r="O17" s="34" t="s">
        <v>35</v>
      </c>
      <c r="P17" s="34" t="str">
        <f t="shared" si="1"/>
        <v>High</v>
      </c>
      <c r="Q17" s="35" cm="1">
        <f t="array" ref="Q17">IF(N17="Very Low",1,IF(N17="Low",2,IF(UN="Moderate",3,IF(N17="High",4,IF(N17="Very High",5,0)))))*IF(O17="Very Low",1,IF(O17="Low",2,IF(O17="Moderate",3,IF(O17="High",4,IF(O17="Very High",5,0)))))</f>
        <v>10</v>
      </c>
      <c r="R17" s="36" t="s">
        <v>31</v>
      </c>
      <c r="S17" s="33" t="s">
        <v>106</v>
      </c>
      <c r="T17" s="33" t="s">
        <v>146</v>
      </c>
      <c r="U17" s="7" t="s">
        <v>34</v>
      </c>
      <c r="V17" s="7" t="s">
        <v>35</v>
      </c>
    </row>
    <row r="18" spans="1:22" s="8" customFormat="1" ht="87.95" customHeight="1" x14ac:dyDescent="0.25">
      <c r="A18" s="33" t="s">
        <v>147</v>
      </c>
      <c r="B18" s="33" t="s">
        <v>148</v>
      </c>
      <c r="C18" s="33" t="s">
        <v>149</v>
      </c>
      <c r="D18" s="33" t="s">
        <v>150</v>
      </c>
      <c r="E18" s="33" t="s">
        <v>40</v>
      </c>
      <c r="F18" s="34" t="s">
        <v>25</v>
      </c>
      <c r="G18" s="34" t="s">
        <v>25</v>
      </c>
      <c r="H18" s="34">
        <f t="shared" si="0"/>
        <v>16</v>
      </c>
      <c r="I18" s="34" t="s">
        <v>26</v>
      </c>
      <c r="J18" s="33" t="s">
        <v>151</v>
      </c>
      <c r="K18" s="33" t="s">
        <v>152</v>
      </c>
      <c r="L18" s="33" t="s">
        <v>144</v>
      </c>
      <c r="M18" s="33" t="s">
        <v>153</v>
      </c>
      <c r="N18" s="34" t="s">
        <v>34</v>
      </c>
      <c r="O18" s="34" t="s">
        <v>25</v>
      </c>
      <c r="P18" s="34" t="str">
        <f t="shared" si="1"/>
        <v>Moderate</v>
      </c>
      <c r="Q18" s="35" cm="1">
        <f t="array" ref="Q18">IF(N18="Very Low",1,IF(N18="Low",2,IF(UN="Moderate",3,IF(N18="High",4,IF(N18="Very High",5,0)))))*IF(O18="Very Low",1,IF(O18="Low",2,IF(O18="Moderate",3,IF(O18="High",4,IF(O18="Very High",5,0)))))</f>
        <v>8</v>
      </c>
      <c r="R18" s="34" t="s">
        <v>25</v>
      </c>
      <c r="S18" s="33" t="s">
        <v>126</v>
      </c>
      <c r="T18" s="33" t="s">
        <v>154</v>
      </c>
      <c r="U18" s="7" t="s">
        <v>34</v>
      </c>
      <c r="V18" s="7" t="s">
        <v>25</v>
      </c>
    </row>
    <row r="19" spans="1:22" s="8" customFormat="1" ht="87.95" customHeight="1" x14ac:dyDescent="0.25">
      <c r="A19" s="33" t="s">
        <v>155</v>
      </c>
      <c r="B19" s="33" t="s">
        <v>156</v>
      </c>
      <c r="C19" s="33" t="s">
        <v>157</v>
      </c>
      <c r="D19" s="33" t="s">
        <v>158</v>
      </c>
      <c r="E19" s="33" t="s">
        <v>159</v>
      </c>
      <c r="F19" s="34" t="s">
        <v>160</v>
      </c>
      <c r="G19" s="34" t="s">
        <v>25</v>
      </c>
      <c r="H19" s="34">
        <f t="shared" si="0"/>
        <v>12</v>
      </c>
      <c r="I19" s="34" t="s">
        <v>26</v>
      </c>
      <c r="J19" s="33" t="s">
        <v>161</v>
      </c>
      <c r="K19" s="33" t="s">
        <v>162</v>
      </c>
      <c r="L19" s="33" t="s">
        <v>163</v>
      </c>
      <c r="M19" s="33" t="s">
        <v>164</v>
      </c>
      <c r="N19" s="34" t="s">
        <v>34</v>
      </c>
      <c r="O19" s="34" t="s">
        <v>160</v>
      </c>
      <c r="P19" s="34" t="str">
        <f t="shared" si="1"/>
        <v>Moderate</v>
      </c>
      <c r="Q19" s="35" cm="1">
        <f t="array" ref="Q19">IF(N19="Very Low",1,IF(N19="Low",2,IF(UN="Moderate",3,IF(N19="High",4,IF(N19="Very High",5,0)))))*IF(O19="Very Low",1,IF(O19="Low",2,IF(O19="Moderate",3,IF(O19="High",4,IF(O19="Very High",5,0)))))</f>
        <v>6</v>
      </c>
      <c r="R19" s="34" t="s">
        <v>25</v>
      </c>
      <c r="S19" s="33" t="s">
        <v>165</v>
      </c>
      <c r="T19" s="33" t="s">
        <v>166</v>
      </c>
      <c r="U19" s="7" t="s">
        <v>34</v>
      </c>
      <c r="V19" s="7" t="s">
        <v>160</v>
      </c>
    </row>
  </sheetData>
  <mergeCells count="2">
    <mergeCell ref="A1:T1"/>
    <mergeCell ref="A2:T2"/>
  </mergeCells>
  <conditionalFormatting sqref="H5:H19">
    <cfRule type="expression" dxfId="15" priority="7">
      <formula>AND(H5&gt;=1,H5&lt;=4)</formula>
    </cfRule>
    <cfRule type="expression" dxfId="14" priority="8">
      <formula>AND(H5&gt;=5,H5&lt;=9)</formula>
    </cfRule>
    <cfRule type="expression" dxfId="13" priority="9">
      <formula>AND(H5&gt;=10,H5&lt;=16)</formula>
    </cfRule>
    <cfRule type="expression" dxfId="12" priority="10">
      <formula>H5&gt;=17</formula>
    </cfRule>
  </conditionalFormatting>
  <conditionalFormatting sqref="Q5:Q19">
    <cfRule type="expression" dxfId="11" priority="11">
      <formula>AND(Q5&gt;=1,Q5&lt;=4)</formula>
    </cfRule>
    <cfRule type="expression" dxfId="10" priority="12">
      <formula>AND(Q5&gt;=5,Q5&lt;=9)</formula>
    </cfRule>
    <cfRule type="expression" dxfId="9" priority="13">
      <formula>AND(Q5&gt;=10,Q5&lt;=16)</formula>
    </cfRule>
    <cfRule type="expression" dxfId="8" priority="14">
      <formula>Q5&gt;=17</formula>
    </cfRule>
  </conditionalFormatting>
  <dataValidations count="1">
    <dataValidation type="list" sqref="F5:G19 U5:V19 N5:O19" xr:uid="{00000000-0002-0000-0000-000000000000}">
      <formula1>"Very Low,Low,Moderate,High,Very High"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4"/>
  <sheetViews>
    <sheetView showGridLines="0" workbookViewId="0">
      <selection activeCell="E7" sqref="E7"/>
    </sheetView>
  </sheetViews>
  <sheetFormatPr defaultRowHeight="15" x14ac:dyDescent="0.25"/>
  <cols>
    <col min="1" max="1" width="26" customWidth="1"/>
    <col min="2" max="2" width="22" customWidth="1"/>
    <col min="3" max="3" width="14" customWidth="1"/>
    <col min="4" max="4" width="18" customWidth="1"/>
    <col min="5" max="5" width="24.7109375" customWidth="1"/>
    <col min="6" max="6" width="19.7109375" customWidth="1"/>
    <col min="7" max="7" width="24.140625" customWidth="1"/>
  </cols>
  <sheetData>
    <row r="1" spans="1:5" ht="42" customHeight="1" x14ac:dyDescent="0.25">
      <c r="A1" s="44" t="s">
        <v>167</v>
      </c>
      <c r="B1" s="45"/>
      <c r="C1" s="45"/>
      <c r="D1" s="45"/>
      <c r="E1" s="45"/>
    </row>
    <row r="2" spans="1:5" x14ac:dyDescent="0.25">
      <c r="A2" s="40"/>
      <c r="B2" s="40"/>
      <c r="C2" s="40"/>
      <c r="D2" s="40"/>
    </row>
    <row r="3" spans="1:5" ht="28.5" customHeight="1" x14ac:dyDescent="0.25">
      <c r="A3" s="27" t="s">
        <v>298</v>
      </c>
      <c r="B3" s="46" t="s">
        <v>168</v>
      </c>
      <c r="C3" s="47"/>
      <c r="D3" s="47"/>
      <c r="E3" s="48"/>
    </row>
    <row r="4" spans="1:5" x14ac:dyDescent="0.25">
      <c r="A4" s="5"/>
      <c r="B4" s="4"/>
      <c r="C4" s="4"/>
      <c r="D4" s="4"/>
    </row>
    <row r="5" spans="1:5" ht="24.75" customHeight="1" x14ac:dyDescent="0.25">
      <c r="A5" s="22" t="s">
        <v>169</v>
      </c>
      <c r="B5" s="22" t="s">
        <v>170</v>
      </c>
      <c r="C5" s="22" t="s">
        <v>171</v>
      </c>
      <c r="D5" s="22" t="s">
        <v>172</v>
      </c>
      <c r="E5" s="22" t="s">
        <v>300</v>
      </c>
    </row>
    <row r="6" spans="1:5" ht="23.25" customHeight="1" x14ac:dyDescent="0.25">
      <c r="A6" s="26" t="s">
        <v>29</v>
      </c>
      <c r="B6" s="6">
        <v>21</v>
      </c>
      <c r="C6" s="6">
        <v>3</v>
      </c>
      <c r="D6" s="6">
        <v>24</v>
      </c>
      <c r="E6" s="24">
        <f>C6/D6</f>
        <v>0.125</v>
      </c>
    </row>
    <row r="7" spans="1:5" ht="21" customHeight="1" x14ac:dyDescent="0.25">
      <c r="A7" s="26" t="s">
        <v>87</v>
      </c>
      <c r="B7" s="6">
        <v>26</v>
      </c>
      <c r="C7" s="6">
        <v>9</v>
      </c>
      <c r="D7" s="6">
        <v>35</v>
      </c>
      <c r="E7" s="28">
        <f t="shared" ref="E7:E10" si="0">C7/D7</f>
        <v>0.25714285714285712</v>
      </c>
    </row>
    <row r="8" spans="1:5" ht="23.25" customHeight="1" x14ac:dyDescent="0.25">
      <c r="A8" s="26" t="s">
        <v>124</v>
      </c>
      <c r="B8" s="6">
        <v>15</v>
      </c>
      <c r="C8" s="6">
        <v>3</v>
      </c>
      <c r="D8" s="6">
        <v>18</v>
      </c>
      <c r="E8" s="25">
        <f t="shared" si="0"/>
        <v>0.16666666666666666</v>
      </c>
    </row>
    <row r="9" spans="1:5" ht="24.75" customHeight="1" x14ac:dyDescent="0.25">
      <c r="A9" s="26" t="s">
        <v>144</v>
      </c>
      <c r="B9" s="6">
        <v>15</v>
      </c>
      <c r="C9" s="6">
        <v>0</v>
      </c>
      <c r="D9" s="6">
        <v>15</v>
      </c>
      <c r="E9" s="24">
        <f t="shared" si="0"/>
        <v>0</v>
      </c>
    </row>
    <row r="10" spans="1:5" ht="20.25" customHeight="1" x14ac:dyDescent="0.25">
      <c r="A10" s="26" t="s">
        <v>163</v>
      </c>
      <c r="B10" s="6">
        <v>4</v>
      </c>
      <c r="C10" s="6">
        <v>2</v>
      </c>
      <c r="D10" s="6">
        <v>6</v>
      </c>
      <c r="E10" s="28">
        <f t="shared" si="0"/>
        <v>0.33333333333333331</v>
      </c>
    </row>
    <row r="11" spans="1:5" x14ac:dyDescent="0.25">
      <c r="A11" s="23"/>
      <c r="B11" s="29"/>
      <c r="C11" s="29"/>
      <c r="D11" s="29"/>
      <c r="E11" s="2"/>
    </row>
    <row r="12" spans="1:5" ht="15" customHeight="1" x14ac:dyDescent="0.25">
      <c r="A12" s="41" t="s">
        <v>173</v>
      </c>
      <c r="B12" s="49" t="s">
        <v>174</v>
      </c>
      <c r="C12" s="50"/>
      <c r="D12" s="50"/>
      <c r="E12" s="51"/>
    </row>
    <row r="13" spans="1:5" x14ac:dyDescent="0.25">
      <c r="A13" s="42"/>
      <c r="B13" s="52"/>
      <c r="C13" s="53"/>
      <c r="D13" s="53"/>
      <c r="E13" s="54"/>
    </row>
    <row r="14" spans="1:5" ht="33.75" customHeight="1" x14ac:dyDescent="0.25">
      <c r="A14" s="43"/>
      <c r="B14" s="55"/>
      <c r="C14" s="56"/>
      <c r="D14" s="56"/>
      <c r="E14" s="57"/>
    </row>
  </sheetData>
  <mergeCells count="5">
    <mergeCell ref="A2:D2"/>
    <mergeCell ref="A12:A14"/>
    <mergeCell ref="A1:E1"/>
    <mergeCell ref="B3:E3"/>
    <mergeCell ref="B12:E1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5"/>
  <sheetViews>
    <sheetView showGridLines="0" workbookViewId="0">
      <selection activeCell="C47" sqref="C47"/>
    </sheetView>
  </sheetViews>
  <sheetFormatPr defaultRowHeight="15" x14ac:dyDescent="0.25"/>
  <cols>
    <col min="1" max="1" width="18" customWidth="1"/>
    <col min="2" max="2" width="25" customWidth="1"/>
    <col min="3" max="3" width="46" customWidth="1"/>
    <col min="4" max="4" width="4" customWidth="1"/>
    <col min="5" max="6" width="20" customWidth="1"/>
    <col min="7" max="7" width="50" customWidth="1"/>
  </cols>
  <sheetData>
    <row r="1" spans="1:7" ht="32.25" customHeight="1" x14ac:dyDescent="0.25">
      <c r="A1" s="58" t="s">
        <v>175</v>
      </c>
      <c r="B1" s="59"/>
      <c r="C1" s="59"/>
      <c r="D1" s="59"/>
      <c r="E1" s="59"/>
      <c r="F1" s="59"/>
      <c r="G1" s="59"/>
    </row>
    <row r="2" spans="1:7" x14ac:dyDescent="0.25">
      <c r="A2" s="1"/>
      <c r="B2" s="1"/>
      <c r="C2" s="1"/>
      <c r="D2" s="4"/>
      <c r="E2" s="1"/>
      <c r="F2" s="1"/>
      <c r="G2" s="1"/>
    </row>
    <row r="3" spans="1:7" s="8" customFormat="1" ht="24.75" customHeight="1" x14ac:dyDescent="0.25">
      <c r="A3" s="16" t="s">
        <v>176</v>
      </c>
      <c r="B3" s="16" t="s">
        <v>177</v>
      </c>
      <c r="C3" s="16" t="s">
        <v>178</v>
      </c>
      <c r="D3" s="14"/>
      <c r="E3" s="16" t="s">
        <v>179</v>
      </c>
      <c r="F3" s="16" t="s">
        <v>177</v>
      </c>
      <c r="G3" s="16" t="s">
        <v>178</v>
      </c>
    </row>
    <row r="4" spans="1:7" ht="30" x14ac:dyDescent="0.25">
      <c r="A4" s="20" t="s">
        <v>180</v>
      </c>
      <c r="B4" s="21">
        <v>1</v>
      </c>
      <c r="C4" s="17" t="s">
        <v>181</v>
      </c>
      <c r="D4" s="4"/>
      <c r="E4" s="20" t="s">
        <v>180</v>
      </c>
      <c r="F4" s="21">
        <v>1</v>
      </c>
      <c r="G4" s="17" t="s">
        <v>182</v>
      </c>
    </row>
    <row r="5" spans="1:7" ht="24.75" customHeight="1" x14ac:dyDescent="0.25">
      <c r="A5" s="20" t="s">
        <v>34</v>
      </c>
      <c r="B5" s="21">
        <v>2</v>
      </c>
      <c r="C5" s="17" t="s">
        <v>183</v>
      </c>
      <c r="D5" s="4"/>
      <c r="E5" s="20" t="s">
        <v>34</v>
      </c>
      <c r="F5" s="21">
        <v>2</v>
      </c>
      <c r="G5" s="17" t="s">
        <v>184</v>
      </c>
    </row>
    <row r="6" spans="1:7" ht="30" x14ac:dyDescent="0.25">
      <c r="A6" s="20" t="s">
        <v>160</v>
      </c>
      <c r="B6" s="21">
        <v>3</v>
      </c>
      <c r="C6" s="17" t="s">
        <v>185</v>
      </c>
      <c r="D6" s="4"/>
      <c r="E6" s="20" t="s">
        <v>160</v>
      </c>
      <c r="F6" s="21">
        <v>3</v>
      </c>
      <c r="G6" s="17" t="s">
        <v>186</v>
      </c>
    </row>
    <row r="7" spans="1:7" ht="30" x14ac:dyDescent="0.25">
      <c r="A7" s="20" t="s">
        <v>25</v>
      </c>
      <c r="B7" s="21">
        <v>4</v>
      </c>
      <c r="C7" s="17" t="s">
        <v>187</v>
      </c>
      <c r="D7" s="4"/>
      <c r="E7" s="20" t="s">
        <v>25</v>
      </c>
      <c r="F7" s="21">
        <v>4</v>
      </c>
      <c r="G7" s="17" t="s">
        <v>188</v>
      </c>
    </row>
    <row r="8" spans="1:7" ht="30" x14ac:dyDescent="0.25">
      <c r="A8" s="20" t="s">
        <v>35</v>
      </c>
      <c r="B8" s="21">
        <v>5</v>
      </c>
      <c r="C8" s="17" t="s">
        <v>189</v>
      </c>
      <c r="D8" s="4"/>
      <c r="E8" s="20" t="s">
        <v>35</v>
      </c>
      <c r="F8" s="21">
        <v>5</v>
      </c>
      <c r="G8" s="17" t="s">
        <v>190</v>
      </c>
    </row>
    <row r="9" spans="1:7" x14ac:dyDescent="0.25">
      <c r="A9" s="1"/>
      <c r="B9" s="1"/>
      <c r="C9" s="1"/>
      <c r="D9" s="4"/>
      <c r="E9" s="1"/>
      <c r="F9" s="1"/>
      <c r="G9" s="1"/>
    </row>
    <row r="10" spans="1:7" s="13" customFormat="1" ht="27" customHeight="1" x14ac:dyDescent="0.25">
      <c r="A10" s="18" t="s">
        <v>299</v>
      </c>
      <c r="B10" s="18" t="s">
        <v>191</v>
      </c>
      <c r="C10" s="19"/>
      <c r="D10" s="15"/>
      <c r="E10" s="18" t="s">
        <v>192</v>
      </c>
      <c r="F10" s="18" t="s">
        <v>193</v>
      </c>
      <c r="G10" s="18" t="s">
        <v>194</v>
      </c>
    </row>
    <row r="11" spans="1:7" ht="30" x14ac:dyDescent="0.25">
      <c r="A11" s="20" t="s">
        <v>34</v>
      </c>
      <c r="B11" s="60" t="s">
        <v>195</v>
      </c>
      <c r="C11" s="61"/>
      <c r="D11" s="4"/>
      <c r="E11" s="17" t="s">
        <v>19</v>
      </c>
      <c r="F11" s="17" t="s">
        <v>196</v>
      </c>
      <c r="G11" s="17" t="s">
        <v>197</v>
      </c>
    </row>
    <row r="12" spans="1:7" ht="30" x14ac:dyDescent="0.25">
      <c r="A12" s="20" t="s">
        <v>160</v>
      </c>
      <c r="B12" s="60" t="s">
        <v>198</v>
      </c>
      <c r="C12" s="61"/>
      <c r="D12" s="4"/>
      <c r="E12" s="17" t="s">
        <v>20</v>
      </c>
      <c r="F12" s="17" t="s">
        <v>196</v>
      </c>
      <c r="G12" s="17" t="s">
        <v>199</v>
      </c>
    </row>
    <row r="13" spans="1:7" ht="23.25" customHeight="1" x14ac:dyDescent="0.25">
      <c r="A13" s="20" t="s">
        <v>25</v>
      </c>
      <c r="B13" s="62" t="s">
        <v>200</v>
      </c>
      <c r="C13" s="63"/>
      <c r="D13" s="4"/>
      <c r="E13" s="17" t="s">
        <v>15</v>
      </c>
      <c r="F13" s="17" t="s">
        <v>191</v>
      </c>
      <c r="G13" s="17" t="s">
        <v>201</v>
      </c>
    </row>
    <row r="14" spans="1:7" ht="36.75" customHeight="1" x14ac:dyDescent="0.25">
      <c r="A14" s="20" t="s">
        <v>31</v>
      </c>
      <c r="B14" s="60" t="s">
        <v>202</v>
      </c>
      <c r="C14" s="61"/>
      <c r="D14" s="4"/>
      <c r="E14" s="17" t="s">
        <v>203</v>
      </c>
      <c r="F14" s="17" t="s">
        <v>204</v>
      </c>
      <c r="G14" s="17" t="s">
        <v>205</v>
      </c>
    </row>
    <row r="15" spans="1:7" x14ac:dyDescent="0.25">
      <c r="A15" s="4"/>
      <c r="B15" s="4"/>
      <c r="C15" s="4"/>
      <c r="D15" s="4"/>
      <c r="E15" s="4"/>
      <c r="F15" s="4"/>
      <c r="G15" s="4"/>
    </row>
  </sheetData>
  <mergeCells count="5">
    <mergeCell ref="A1:G1"/>
    <mergeCell ref="B11:C11"/>
    <mergeCell ref="B12:C12"/>
    <mergeCell ref="B13:C13"/>
    <mergeCell ref="B14:C1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6"/>
  <sheetViews>
    <sheetView showGridLines="0" topLeftCell="A2" workbookViewId="0">
      <selection activeCell="C4" sqref="C4"/>
    </sheetView>
  </sheetViews>
  <sheetFormatPr defaultRowHeight="15" x14ac:dyDescent="0.25"/>
  <cols>
    <col min="1" max="1" width="10" customWidth="1"/>
    <col min="2" max="2" width="20" customWidth="1"/>
    <col min="3" max="3" width="60" customWidth="1"/>
    <col min="4" max="4" width="16" customWidth="1"/>
    <col min="5" max="5" width="70" customWidth="1"/>
    <col min="6" max="6" width="28" customWidth="1"/>
  </cols>
  <sheetData>
    <row r="1" spans="1:6" s="8" customFormat="1" ht="23.25" customHeight="1" x14ac:dyDescent="0.25">
      <c r="A1" s="11" t="s">
        <v>2</v>
      </c>
      <c r="B1" s="11" t="s">
        <v>206</v>
      </c>
      <c r="C1" s="11" t="s">
        <v>207</v>
      </c>
      <c r="D1" s="11" t="s">
        <v>208</v>
      </c>
      <c r="E1" s="11" t="s">
        <v>209</v>
      </c>
      <c r="F1" s="11" t="s">
        <v>210</v>
      </c>
    </row>
    <row r="2" spans="1:6" ht="72" customHeight="1" x14ac:dyDescent="0.25">
      <c r="A2" s="9" t="s">
        <v>21</v>
      </c>
      <c r="B2" s="9" t="s">
        <v>29</v>
      </c>
      <c r="C2" s="9" t="s">
        <v>211</v>
      </c>
      <c r="D2" s="9" t="s">
        <v>212</v>
      </c>
      <c r="E2" s="9" t="s">
        <v>213</v>
      </c>
      <c r="F2" s="9" t="s">
        <v>214</v>
      </c>
    </row>
    <row r="3" spans="1:6" ht="72" customHeight="1" x14ac:dyDescent="0.25">
      <c r="A3" s="9" t="s">
        <v>36</v>
      </c>
      <c r="B3" s="9" t="s">
        <v>29</v>
      </c>
      <c r="C3" s="9" t="s">
        <v>215</v>
      </c>
      <c r="D3" s="9" t="s">
        <v>212</v>
      </c>
      <c r="E3" s="9" t="s">
        <v>216</v>
      </c>
      <c r="F3" s="9" t="s">
        <v>217</v>
      </c>
    </row>
    <row r="4" spans="1:6" ht="72" customHeight="1" x14ac:dyDescent="0.25">
      <c r="A4" s="9" t="s">
        <v>44</v>
      </c>
      <c r="B4" s="9" t="s">
        <v>29</v>
      </c>
      <c r="C4" s="9" t="s">
        <v>218</v>
      </c>
      <c r="D4" s="9" t="s">
        <v>212</v>
      </c>
      <c r="E4" s="9" t="s">
        <v>219</v>
      </c>
      <c r="F4" s="9" t="s">
        <v>220</v>
      </c>
    </row>
    <row r="5" spans="1:6" ht="72" customHeight="1" x14ac:dyDescent="0.25">
      <c r="A5" s="9" t="s">
        <v>53</v>
      </c>
      <c r="B5" s="9" t="s">
        <v>29</v>
      </c>
      <c r="C5" s="9" t="s">
        <v>221</v>
      </c>
      <c r="D5" s="9" t="s">
        <v>212</v>
      </c>
      <c r="E5" s="9" t="s">
        <v>222</v>
      </c>
      <c r="F5" s="9" t="s">
        <v>223</v>
      </c>
    </row>
    <row r="6" spans="1:6" ht="72" customHeight="1" x14ac:dyDescent="0.25">
      <c r="A6" s="9" t="s">
        <v>63</v>
      </c>
      <c r="B6" s="9" t="s">
        <v>29</v>
      </c>
      <c r="C6" s="9" t="s">
        <v>224</v>
      </c>
      <c r="D6" s="9" t="s">
        <v>212</v>
      </c>
      <c r="E6" s="9" t="s">
        <v>225</v>
      </c>
      <c r="F6" s="9" t="s">
        <v>226</v>
      </c>
    </row>
    <row r="7" spans="1:6" ht="72" customHeight="1" x14ac:dyDescent="0.25">
      <c r="A7" s="9" t="s">
        <v>72</v>
      </c>
      <c r="B7" s="9" t="s">
        <v>29</v>
      </c>
      <c r="C7" s="9" t="s">
        <v>227</v>
      </c>
      <c r="D7" s="9" t="s">
        <v>212</v>
      </c>
      <c r="E7" s="9" t="s">
        <v>228</v>
      </c>
      <c r="F7" s="9" t="s">
        <v>229</v>
      </c>
    </row>
    <row r="8" spans="1:6" ht="72" customHeight="1" x14ac:dyDescent="0.25">
      <c r="A8" s="9" t="s">
        <v>81</v>
      </c>
      <c r="B8" s="9" t="s">
        <v>87</v>
      </c>
      <c r="C8" s="9" t="s">
        <v>230</v>
      </c>
      <c r="D8" s="9" t="s">
        <v>212</v>
      </c>
      <c r="E8" s="9" t="s">
        <v>231</v>
      </c>
      <c r="F8" s="9" t="s">
        <v>232</v>
      </c>
    </row>
    <row r="9" spans="1:6" ht="72" customHeight="1" x14ac:dyDescent="0.25">
      <c r="A9" s="9" t="s">
        <v>90</v>
      </c>
      <c r="B9" s="9" t="s">
        <v>87</v>
      </c>
      <c r="C9" s="9" t="s">
        <v>233</v>
      </c>
      <c r="D9" s="9" t="s">
        <v>212</v>
      </c>
      <c r="E9" s="9" t="s">
        <v>234</v>
      </c>
      <c r="F9" s="9" t="s">
        <v>235</v>
      </c>
    </row>
    <row r="10" spans="1:6" ht="72" customHeight="1" x14ac:dyDescent="0.25">
      <c r="A10" s="9" t="s">
        <v>98</v>
      </c>
      <c r="B10" s="9" t="s">
        <v>87</v>
      </c>
      <c r="C10" s="9" t="s">
        <v>236</v>
      </c>
      <c r="D10" s="9" t="s">
        <v>212</v>
      </c>
      <c r="E10" s="9" t="s">
        <v>237</v>
      </c>
      <c r="F10" s="9" t="s">
        <v>238</v>
      </c>
    </row>
    <row r="11" spans="1:6" ht="72" customHeight="1" x14ac:dyDescent="0.25">
      <c r="A11" s="9" t="s">
        <v>108</v>
      </c>
      <c r="B11" s="9" t="s">
        <v>87</v>
      </c>
      <c r="C11" s="9" t="s">
        <v>239</v>
      </c>
      <c r="D11" s="9" t="s">
        <v>212</v>
      </c>
      <c r="E11" s="9" t="s">
        <v>240</v>
      </c>
      <c r="F11" s="9" t="s">
        <v>241</v>
      </c>
    </row>
    <row r="12" spans="1:6" ht="72" customHeight="1" x14ac:dyDescent="0.25">
      <c r="A12" s="9" t="s">
        <v>118</v>
      </c>
      <c r="B12" s="9" t="s">
        <v>124</v>
      </c>
      <c r="C12" s="9" t="s">
        <v>242</v>
      </c>
      <c r="D12" s="9" t="s">
        <v>212</v>
      </c>
      <c r="E12" s="9" t="s">
        <v>243</v>
      </c>
      <c r="F12" s="9" t="s">
        <v>244</v>
      </c>
    </row>
    <row r="13" spans="1:6" ht="72" customHeight="1" x14ac:dyDescent="0.25">
      <c r="A13" s="9" t="s">
        <v>128</v>
      </c>
      <c r="B13" s="9" t="s">
        <v>124</v>
      </c>
      <c r="C13" s="9" t="s">
        <v>245</v>
      </c>
      <c r="D13" s="9" t="s">
        <v>212</v>
      </c>
      <c r="E13" s="9" t="s">
        <v>246</v>
      </c>
      <c r="F13" s="9" t="s">
        <v>247</v>
      </c>
    </row>
    <row r="14" spans="1:6" ht="72" customHeight="1" x14ac:dyDescent="0.25">
      <c r="A14" s="9" t="s">
        <v>138</v>
      </c>
      <c r="B14" s="9" t="s">
        <v>144</v>
      </c>
      <c r="C14" s="9" t="s">
        <v>248</v>
      </c>
      <c r="D14" s="9" t="s">
        <v>212</v>
      </c>
      <c r="E14" s="9" t="s">
        <v>249</v>
      </c>
      <c r="F14" s="9" t="s">
        <v>250</v>
      </c>
    </row>
    <row r="15" spans="1:6" ht="72" customHeight="1" x14ac:dyDescent="0.25">
      <c r="A15" s="9" t="s">
        <v>147</v>
      </c>
      <c r="B15" s="9" t="s">
        <v>144</v>
      </c>
      <c r="C15" s="9" t="s">
        <v>251</v>
      </c>
      <c r="D15" s="9" t="s">
        <v>212</v>
      </c>
      <c r="E15" s="9" t="s">
        <v>252</v>
      </c>
      <c r="F15" s="9" t="s">
        <v>253</v>
      </c>
    </row>
    <row r="16" spans="1:6" ht="72" customHeight="1" x14ac:dyDescent="0.25">
      <c r="A16" s="9" t="s">
        <v>155</v>
      </c>
      <c r="B16" s="9" t="s">
        <v>163</v>
      </c>
      <c r="C16" s="9" t="s">
        <v>254</v>
      </c>
      <c r="D16" s="9" t="s">
        <v>212</v>
      </c>
      <c r="E16" s="9" t="s">
        <v>255</v>
      </c>
      <c r="F16" s="9" t="s">
        <v>256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4"/>
  <sheetViews>
    <sheetView showGridLines="0" workbookViewId="0">
      <selection activeCell="D5" sqref="D5"/>
    </sheetView>
  </sheetViews>
  <sheetFormatPr defaultRowHeight="15" x14ac:dyDescent="0.25"/>
  <cols>
    <col min="1" max="1" width="12" customWidth="1"/>
    <col min="2" max="2" width="10" customWidth="1"/>
    <col min="3" max="3" width="55" customWidth="1"/>
    <col min="4" max="4" width="70" customWidth="1"/>
    <col min="5" max="5" width="22" customWidth="1"/>
  </cols>
  <sheetData>
    <row r="1" spans="1:5" ht="24" customHeight="1" x14ac:dyDescent="0.25">
      <c r="A1" s="12" t="s">
        <v>16</v>
      </c>
      <c r="B1" s="12" t="s">
        <v>2</v>
      </c>
      <c r="C1" s="12" t="s">
        <v>257</v>
      </c>
      <c r="D1" s="12" t="s">
        <v>258</v>
      </c>
      <c r="E1" s="12" t="s">
        <v>17</v>
      </c>
    </row>
    <row r="2" spans="1:5" ht="54.95" customHeight="1" x14ac:dyDescent="0.25">
      <c r="A2" s="10" t="s">
        <v>259</v>
      </c>
      <c r="B2" s="10" t="s">
        <v>21</v>
      </c>
      <c r="C2" s="10" t="s">
        <v>260</v>
      </c>
      <c r="D2" s="10" t="s">
        <v>261</v>
      </c>
      <c r="E2" s="10" t="s">
        <v>32</v>
      </c>
    </row>
    <row r="3" spans="1:5" ht="54.95" customHeight="1" x14ac:dyDescent="0.25">
      <c r="A3" s="10" t="s">
        <v>262</v>
      </c>
      <c r="B3" s="10" t="s">
        <v>36</v>
      </c>
      <c r="C3" s="10" t="s">
        <v>263</v>
      </c>
      <c r="D3" s="10" t="s">
        <v>264</v>
      </c>
      <c r="E3" s="10" t="s">
        <v>32</v>
      </c>
    </row>
    <row r="4" spans="1:5" ht="54.95" customHeight="1" x14ac:dyDescent="0.25">
      <c r="A4" s="10" t="s">
        <v>265</v>
      </c>
      <c r="B4" s="10" t="s">
        <v>81</v>
      </c>
      <c r="C4" s="10" t="s">
        <v>266</v>
      </c>
      <c r="D4" s="10" t="s">
        <v>267</v>
      </c>
      <c r="E4" s="10" t="s">
        <v>70</v>
      </c>
    </row>
    <row r="5" spans="1:5" ht="54.95" customHeight="1" x14ac:dyDescent="0.25">
      <c r="A5" s="10" t="s">
        <v>268</v>
      </c>
      <c r="B5" s="10" t="s">
        <v>44</v>
      </c>
      <c r="C5" s="10" t="s">
        <v>269</v>
      </c>
      <c r="D5" s="10" t="s">
        <v>270</v>
      </c>
      <c r="E5" s="10" t="s">
        <v>51</v>
      </c>
    </row>
    <row r="6" spans="1:5" ht="54.95" customHeight="1" x14ac:dyDescent="0.25">
      <c r="A6" s="10" t="s">
        <v>271</v>
      </c>
      <c r="B6" s="10" t="s">
        <v>63</v>
      </c>
      <c r="C6" s="10" t="s">
        <v>272</v>
      </c>
      <c r="D6" s="10" t="s">
        <v>273</v>
      </c>
      <c r="E6" s="10" t="s">
        <v>70</v>
      </c>
    </row>
    <row r="7" spans="1:5" ht="54.95" customHeight="1" x14ac:dyDescent="0.25">
      <c r="A7" s="10" t="s">
        <v>274</v>
      </c>
      <c r="B7" s="10" t="s">
        <v>98</v>
      </c>
      <c r="C7" s="10" t="s">
        <v>275</v>
      </c>
      <c r="D7" s="10" t="s">
        <v>276</v>
      </c>
      <c r="E7" s="10" t="s">
        <v>106</v>
      </c>
    </row>
    <row r="8" spans="1:5" ht="54.95" customHeight="1" x14ac:dyDescent="0.25">
      <c r="A8" s="10" t="s">
        <v>277</v>
      </c>
      <c r="B8" s="10" t="s">
        <v>138</v>
      </c>
      <c r="C8" s="10" t="s">
        <v>278</v>
      </c>
      <c r="D8" s="10" t="s">
        <v>279</v>
      </c>
      <c r="E8" s="10" t="s">
        <v>106</v>
      </c>
    </row>
    <row r="9" spans="1:5" ht="54.95" customHeight="1" x14ac:dyDescent="0.25">
      <c r="A9" s="10" t="s">
        <v>280</v>
      </c>
      <c r="B9" s="10" t="s">
        <v>118</v>
      </c>
      <c r="C9" s="10" t="s">
        <v>281</v>
      </c>
      <c r="D9" s="10" t="s">
        <v>282</v>
      </c>
      <c r="E9" s="10" t="s">
        <v>126</v>
      </c>
    </row>
    <row r="10" spans="1:5" ht="54.95" customHeight="1" x14ac:dyDescent="0.25">
      <c r="A10" s="10" t="s">
        <v>283</v>
      </c>
      <c r="B10" s="10" t="s">
        <v>128</v>
      </c>
      <c r="C10" s="10" t="s">
        <v>284</v>
      </c>
      <c r="D10" s="10" t="s">
        <v>285</v>
      </c>
      <c r="E10" s="10" t="s">
        <v>136</v>
      </c>
    </row>
    <row r="11" spans="1:5" ht="54.95" customHeight="1" x14ac:dyDescent="0.25">
      <c r="A11" s="10" t="s">
        <v>286</v>
      </c>
      <c r="B11" s="10" t="s">
        <v>108</v>
      </c>
      <c r="C11" s="10" t="s">
        <v>287</v>
      </c>
      <c r="D11" s="10" t="s">
        <v>288</v>
      </c>
      <c r="E11" s="10" t="s">
        <v>116</v>
      </c>
    </row>
    <row r="12" spans="1:5" ht="54.95" customHeight="1" x14ac:dyDescent="0.25">
      <c r="A12" s="10" t="s">
        <v>289</v>
      </c>
      <c r="B12" s="10" t="s">
        <v>72</v>
      </c>
      <c r="C12" s="10" t="s">
        <v>290</v>
      </c>
      <c r="D12" s="10" t="s">
        <v>291</v>
      </c>
      <c r="E12" s="10" t="s">
        <v>61</v>
      </c>
    </row>
    <row r="13" spans="1:5" ht="54.95" customHeight="1" x14ac:dyDescent="0.25">
      <c r="A13" s="10" t="s">
        <v>292</v>
      </c>
      <c r="B13" s="10" t="s">
        <v>147</v>
      </c>
      <c r="C13" s="10" t="s">
        <v>293</v>
      </c>
      <c r="D13" s="10" t="s">
        <v>294</v>
      </c>
      <c r="E13" s="10" t="s">
        <v>126</v>
      </c>
    </row>
    <row r="14" spans="1:5" ht="54.95" customHeight="1" x14ac:dyDescent="0.25">
      <c r="A14" s="10" t="s">
        <v>295</v>
      </c>
      <c r="B14" s="10" t="s">
        <v>155</v>
      </c>
      <c r="C14" s="10" t="s">
        <v>296</v>
      </c>
      <c r="D14" s="10" t="s">
        <v>297</v>
      </c>
      <c r="E14" s="10" t="s">
        <v>165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Risk Register</vt:lpstr>
      <vt:lpstr>Assessment Summary</vt:lpstr>
      <vt:lpstr>Scoring Methodology</vt:lpstr>
      <vt:lpstr>Risk Traceability</vt:lpstr>
      <vt:lpstr>Roadmap Priorities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Jarell Humphries</dc:creator>
  <cp:lastModifiedBy>Jarell Humphries</cp:lastModifiedBy>
  <dcterms:created xsi:type="dcterms:W3CDTF">2026-08-29T01:16:59Z</dcterms:created>
  <dcterms:modified xsi:type="dcterms:W3CDTF">2026-08-29T09:09:06Z</dcterms:modified>
</cp:coreProperties>
</file>