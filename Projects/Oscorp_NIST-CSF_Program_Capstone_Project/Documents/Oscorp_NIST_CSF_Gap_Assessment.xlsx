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9f5697d14687421/Desktop/GRC Project Files/Capstone Project_Oscorp NIST Assesment/Repository Files/"/>
    </mc:Choice>
  </mc:AlternateContent>
  <xr:revisionPtr revIDLastSave="24" documentId="8_{2CB198F8-E30B-43D0-8F0C-661AC14F9AB8}" xr6:coauthVersionLast="47" xr6:coauthVersionMax="47" xr10:uidLastSave="{2C6D0AD9-192A-4308-A3C8-4C408C603E93}"/>
  <bookViews>
    <workbookView xWindow="2190" yWindow="-120" windowWidth="49530" windowHeight="21840" activeTab="1" xr2:uid="{00000000-000D-0000-FFFF-FFFF00000000}"/>
  </bookViews>
  <sheets>
    <sheet name="Gap Assessment" sheetId="1" r:id="rId1"/>
    <sheet name="Gap Summary" sheetId="2" r:id="rId2"/>
    <sheet name="Maturity Model" sheetId="3" r:id="rId3"/>
    <sheet name="Priority Ga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D8" i="2"/>
  <c r="C8" i="2"/>
  <c r="B8" i="2"/>
  <c r="H8" i="2" s="1"/>
  <c r="E7" i="2"/>
  <c r="D7" i="2"/>
  <c r="C7" i="2"/>
  <c r="B7" i="2"/>
  <c r="H7" i="2" s="1"/>
  <c r="E6" i="2"/>
  <c r="D6" i="2"/>
  <c r="C6" i="2"/>
  <c r="B6" i="2"/>
  <c r="F6" i="2" s="1"/>
  <c r="E5" i="2"/>
  <c r="D5" i="2"/>
  <c r="C5" i="2"/>
  <c r="B5" i="2"/>
  <c r="H5" i="2" s="1"/>
  <c r="E4" i="2"/>
  <c r="D4" i="2"/>
  <c r="C4" i="2"/>
  <c r="B4" i="2"/>
  <c r="G4" i="2" s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G6" i="2" l="1"/>
  <c r="F4" i="2"/>
  <c r="H6" i="2"/>
  <c r="H4" i="2"/>
  <c r="F7" i="2"/>
  <c r="G7" i="2"/>
  <c r="F5" i="2"/>
  <c r="G5" i="2"/>
  <c r="F8" i="2"/>
  <c r="G8" i="2"/>
</calcChain>
</file>

<file path=xl/sharedStrings.xml><?xml version="1.0" encoding="utf-8"?>
<sst xmlns="http://schemas.openxmlformats.org/spreadsheetml/2006/main" count="598" uniqueCount="341">
  <si>
    <t>Oscorp NIST CSF Gap Assessment</t>
  </si>
  <si>
    <t>Derived from the GRC Mastery NIST Cyber Security Assessment (2026) and aligned to the Oscorp 1–5 risk register.</t>
  </si>
  <si>
    <t>Gap ID</t>
  </si>
  <si>
    <t>NIST Function</t>
  </si>
  <si>
    <t>NIST Category</t>
  </si>
  <si>
    <t>Control / Capability</t>
  </si>
  <si>
    <t>Current State</t>
  </si>
  <si>
    <t>Target State</t>
  </si>
  <si>
    <t>Status</t>
  </si>
  <si>
    <t>Current Maturity</t>
  </si>
  <si>
    <t>Target Maturity</t>
  </si>
  <si>
    <t>Maturity Gap</t>
  </si>
  <si>
    <t>Related Risk ID</t>
  </si>
  <si>
    <t>Recommended Action</t>
  </si>
  <si>
    <t>Priority</t>
  </si>
  <si>
    <t>Responsible Owner</t>
  </si>
  <si>
    <t>Roadmap Phase</t>
  </si>
  <si>
    <t>Business / Security Rationale</t>
  </si>
  <si>
    <t>GAP-001</t>
  </si>
  <si>
    <t>Identify</t>
  </si>
  <si>
    <t>Asset Management</t>
  </si>
  <si>
    <t>Physical asset inventory coverage</t>
  </si>
  <si>
    <t>A CMDB exists, but it should be expanded to include all hardware and a regular update schedule is not established.</t>
  </si>
  <si>
    <t>CMDB should comprehensively cover in-scope hardware and be reviewed on a defined schedule.</t>
  </si>
  <si>
    <t>Partial</t>
  </si>
  <si>
    <t>R-003</t>
  </si>
  <si>
    <t>Expand the CMDB to network equipment, servers, endpoints, and other in-scope hardware; establish ownership and recurring reconciliation.</t>
  </si>
  <si>
    <t>High</t>
  </si>
  <si>
    <t>IT Operations</t>
  </si>
  <si>
    <t>Year 1 – Q2</t>
  </si>
  <si>
    <t>Existing capability reduces implementation effort, but incomplete coverage creates blind spots.</t>
  </si>
  <si>
    <t>GAP-002</t>
  </si>
  <si>
    <t>Software and SaaS inventory</t>
  </si>
  <si>
    <t>SaaS applications are used, but local applications and SaaS instances are not comprehensively catalogued or reviewed.</t>
  </si>
  <si>
    <t>Maintain an authoritative software/SaaS inventory with owners, criticality, sensitivity, and recurring review.</t>
  </si>
  <si>
    <t>Fail</t>
  </si>
  <si>
    <t>Inventory software, SaaS, and critical applications; assign owners and classifications; reconcile on a defined schedule.</t>
  </si>
  <si>
    <t>Unknown software limits patching, access governance, monitoring, and recovery.</t>
  </si>
  <si>
    <t>GAP-003</t>
  </si>
  <si>
    <t>Network and data-flow mapping</t>
  </si>
  <si>
    <t>Current network diagrams, including cloud environments and data flows, are not maintained.</t>
  </si>
  <si>
    <t>Maintain current network and data-flow diagrams showing trust boundaries, cloud dependencies, and sensitive information flows.</t>
  </si>
  <si>
    <t>R-004</t>
  </si>
  <si>
    <t>Document network architecture and critical data flows; define ownership and update triggers.</t>
  </si>
  <si>
    <t>IT / Architecture</t>
  </si>
  <si>
    <t>Year 1 – Q2/Q3</t>
  </si>
  <si>
    <t>Architecture visibility is foundational for segmentation, monitoring, and incident response.</t>
  </si>
  <si>
    <t>GAP-004</t>
  </si>
  <si>
    <t>Asset classification and prioritization</t>
  </si>
  <si>
    <t>Assets are not consistently classified according to sensitivity, criticality, and business value.</t>
  </si>
  <si>
    <t>Apply a documented classification scheme to systems, applications, data, and services.</t>
  </si>
  <si>
    <t>Define classification criteria and apply them to the CMDB and critical service inventory.</t>
  </si>
  <si>
    <t>IT / Business Owners</t>
  </si>
  <si>
    <t>Classification allows security effort to follow business importance.</t>
  </si>
  <si>
    <t>GAP-005</t>
  </si>
  <si>
    <t>Governance</t>
  </si>
  <si>
    <t>Cybersecurity roles and responsibilities</t>
  </si>
  <si>
    <t>Oscorp relies on generalist IT support; cybersecurity roles and reporting responsibilities are not formally defined.</t>
  </si>
  <si>
    <t>Document accountable cybersecurity roles, decision rights, escalation paths, and interfaces with third parties.</t>
  </si>
  <si>
    <t>R-001</t>
  </si>
  <si>
    <t>Create a cybersecurity governance charter and RACI; assign accountable leadership and reporting relationships.</t>
  </si>
  <si>
    <t>Critical</t>
  </si>
  <si>
    <t>Executive Leadership</t>
  </si>
  <si>
    <t>Year 1 – Q1</t>
  </si>
  <si>
    <t>Undefined accountability is a systemic dependency for other security initiatives.</t>
  </si>
  <si>
    <t>GAP-006</t>
  </si>
  <si>
    <t>Information security policy framework</t>
  </si>
  <si>
    <t>No formal information security policy framework is established.</t>
  </si>
  <si>
    <t>Maintain approved security policies defining scope, responsibilities, governance, and minimum control expectations.</t>
  </si>
  <si>
    <t>Develop, approve, communicate, and periodically review core information security policies.</t>
  </si>
  <si>
    <t>Executive Leadership / Security Lead</t>
  </si>
  <si>
    <t>Year 1 – Q1/Q2</t>
  </si>
  <si>
    <t>Policies provide the authority and baseline for consistent control implementation.</t>
  </si>
  <si>
    <t>GAP-007</t>
  </si>
  <si>
    <t>Legal and regulatory cybersecurity requirements</t>
  </si>
  <si>
    <t>Cybersecurity legal and regulatory obligations are not formally documented and managed.</t>
  </si>
  <si>
    <t>Maintain an applicable-requirements register and map obligations to policies, controls, and owners.</t>
  </si>
  <si>
    <t>Identify applicable obligations; assign owners; map requirements to controls and review periodically.</t>
  </si>
  <si>
    <t>Legal / Compliance / Security</t>
  </si>
  <si>
    <t>Unmanaged obligations can create compliance and contractual exposure.</t>
  </si>
  <si>
    <t>GAP-008</t>
  </si>
  <si>
    <t>Risk Management</t>
  </si>
  <si>
    <t>Formal cybersecurity risk process</t>
  </si>
  <si>
    <t>There is no established process for identifying, assessing, treating, accepting, and monitoring cybersecurity risk.</t>
  </si>
  <si>
    <t>Operate a documented risk-management lifecycle with approved methodology, ownership, treatment, escalation, and review.</t>
  </si>
  <si>
    <t>R-002</t>
  </si>
  <si>
    <t>Adopt the risk methodology and register; define assessment cadence, treatment criteria, and escalation.</t>
  </si>
  <si>
    <t>The risk process is the basis for prioritizing limited resources.</t>
  </si>
  <si>
    <t>GAP-009</t>
  </si>
  <si>
    <t>Risk appetite and tolerance</t>
  </si>
  <si>
    <t>Cybersecurity risk appetite and tolerance are not defined or approved.</t>
  </si>
  <si>
    <t>Management should define and approve risk appetite/tolerance to guide treatment and acceptance decisions.</t>
  </si>
  <si>
    <t>Develop a cyber risk appetite statement and approval process; link thresholds to escalation and acceptance.</t>
  </si>
  <si>
    <t>Without tolerance, management cannot consistently determine acceptable residual risk.</t>
  </si>
  <si>
    <t>GAP-010</t>
  </si>
  <si>
    <t>Risk Assessment</t>
  </si>
  <si>
    <t>Threat, likelihood, impact, and business-impact analysis</t>
  </si>
  <si>
    <t>Threat assessments and formal business impact/likelihood analysis are not consistently performed.</t>
  </si>
  <si>
    <t>Risk assessments should consider threats, vulnerabilities, likelihood, business impact, and control effectiveness.</t>
  </si>
  <si>
    <t>Perform periodic cyber risk assessments and a business impact analysis using the approved methodology.</t>
  </si>
  <si>
    <t>Security Lead / Business Continuity</t>
  </si>
  <si>
    <t>Risk scores need business-impact evidence rather than control status alone.</t>
  </si>
  <si>
    <t>GAP-011</t>
  </si>
  <si>
    <t>Supply Chain</t>
  </si>
  <si>
    <t>Third-party inventory and classification</t>
  </si>
  <si>
    <t>Third-party interactions are handled inconsistently; suppliers are not comprehensively inventoried, classified, or tracked.</t>
  </si>
  <si>
    <t>Maintain a complete supplier inventory with criticality, data access, service dependency, and security tiering.</t>
  </si>
  <si>
    <t>R-005</t>
  </si>
  <si>
    <t>Create third-party inventory and tiering; identify critical vendors and security dependencies.</t>
  </si>
  <si>
    <t>Procurement / Security</t>
  </si>
  <si>
    <t>Third parties expand Oscorp's attack surface and service dependencies.</t>
  </si>
  <si>
    <t>GAP-012</t>
  </si>
  <si>
    <t>Business Environment</t>
  </si>
  <si>
    <t>Critical services and resilience requirements</t>
  </si>
  <si>
    <t>Critical services, dependencies, BIA results, and resilience requirements are not clearly defined.</t>
  </si>
  <si>
    <t>Identify critical services and dependencies and define business-approved resilience and recovery requirements.</t>
  </si>
  <si>
    <t>R-006</t>
  </si>
  <si>
    <t>Conduct a BIA; define critical services, dependencies, recovery priorities, and resilience requirements.</t>
  </si>
  <si>
    <t>Business Continuity / IT</t>
  </si>
  <si>
    <t>Recovery investment should follow business criticality.</t>
  </si>
  <si>
    <t>GAP-013</t>
  </si>
  <si>
    <t>Protect</t>
  </si>
  <si>
    <t>Access Control</t>
  </si>
  <si>
    <t>Remote access governance</t>
  </si>
  <si>
    <t>Remote access controls are undefined.</t>
  </si>
  <si>
    <t>Remote access should be authorized, strongly authenticated, restricted by role/device, logged, and periodically reviewed.</t>
  </si>
  <si>
    <t>R-008</t>
  </si>
  <si>
    <t>Document remote-access requirements; require MFA; restrict access; log and periodically review permissions.</t>
  </si>
  <si>
    <t>IT / IAM Owner</t>
  </si>
  <si>
    <t>Year 1 – Q3</t>
  </si>
  <si>
    <t>Remote connectivity extends the security boundary and needs explicit governance.</t>
  </si>
  <si>
    <t>GAP-014</t>
  </si>
  <si>
    <t>Least privilege and separation of duties</t>
  </si>
  <si>
    <t>Least privilege and separation of duties are not consistently used.</t>
  </si>
  <si>
    <t>Access should be role-based, least-privileged, periodically certified, and segregated for conflicting duties.</t>
  </si>
  <si>
    <t>R-007</t>
  </si>
  <si>
    <t>Implement RBAC, access reviews, privileged account separation, and separation-of-duties requirements.</t>
  </si>
  <si>
    <t>Year 1 – Q2/Q4</t>
  </si>
  <si>
    <t>Excessive permissions increase the blast radius of compromised or misused accounts.</t>
  </si>
  <si>
    <t>GAP-015</t>
  </si>
  <si>
    <t>Awareness &amp; Training</t>
  </si>
  <si>
    <t>Recurring workforce security awareness</t>
  </si>
  <si>
    <t>Training is mandatory for new employees but there is no mature recurring awareness program.</t>
  </si>
  <si>
    <t>Provide role-appropriate awareness at onboarding and recurring intervals, with completion tracking and updates.</t>
  </si>
  <si>
    <t>Establish annual/periodic awareness training, phishing exercises where appropriate, and completion reporting.</t>
  </si>
  <si>
    <t>HR / Security</t>
  </si>
  <si>
    <t>Human risk requires ongoing reinforcement, not onboarding-only training.</t>
  </si>
  <si>
    <t>GAP-016</t>
  </si>
  <si>
    <t>Privileged, executive, and third-party role training</t>
  </si>
  <si>
    <t>Privileged users, executives, and third parties do not consistently receive role-specific cybersecurity training.</t>
  </si>
  <si>
    <t>High-risk roles and relevant external stakeholders should understand their security responsibilities.</t>
  </si>
  <si>
    <t>Develop targeted training for privileged users, executives, and relevant third parties; document expectations contractually.</t>
  </si>
  <si>
    <t>Security / HR / Procurement</t>
  </si>
  <si>
    <t>Year 1 – Q3/Q4</t>
  </si>
  <si>
    <t>Higher-risk roles need training aligned with their authority and access.</t>
  </si>
  <si>
    <t>GAP-017</t>
  </si>
  <si>
    <t>Data Security</t>
  </si>
  <si>
    <t>Data at rest and in transit protection</t>
  </si>
  <si>
    <t>Encryption of data at rest is not sufficiently evidenced and data in transit is not consistently encrypted.</t>
  </si>
  <si>
    <t>Define and verify encryption requirements for sensitive data at rest and in transit.</t>
  </si>
  <si>
    <t>R-009</t>
  </si>
  <si>
    <t>Classify sensitive data; establish encryption standards; verify implementation across local, cloud, and transmission paths.</t>
  </si>
  <si>
    <t>Security / Data Owners</t>
  </si>
  <si>
    <t>Confidential project and business information may otherwise be exposed.</t>
  </si>
  <si>
    <t>GAP-018</t>
  </si>
  <si>
    <t>Data loss prevention</t>
  </si>
  <si>
    <t>No formal data-loss prevention program is in place.</t>
  </si>
  <si>
    <t>Implement proportionate controls to detect/restrict unauthorized transfer of sensitive information.</t>
  </si>
  <si>
    <t>Define DLP requirements based on data classification; implement technical and procedural controls in phases.</t>
  </si>
  <si>
    <t>Year 1 – Year 2</t>
  </si>
  <si>
    <t>Directly addresses leakage/exfiltration of sensitive information.</t>
  </si>
  <si>
    <t>GAP-019</t>
  </si>
  <si>
    <t>Asset disposal and data destruction</t>
  </si>
  <si>
    <t>Asset offboarding and data disposal procedures are unclear or undocumented.</t>
  </si>
  <si>
    <t>Use documented, repeatable asset disposition and secure data-destruction procedures with evidence.</t>
  </si>
  <si>
    <t>Document asset offboarding, sanitization/destruction standards, approvals, and evidence retention.</t>
  </si>
  <si>
    <t>Moderate</t>
  </si>
  <si>
    <t>Year 1 – Q4</t>
  </si>
  <si>
    <t>End-of-life assets can retain sensitive information and create inventory inaccuracies.</t>
  </si>
  <si>
    <t>GAP-020</t>
  </si>
  <si>
    <t>Configuration &amp; SDLC</t>
  </si>
  <si>
    <t>Secure baseline configuration</t>
  </si>
  <si>
    <t>Formal secure baseline configurations are not established.</t>
  </si>
  <si>
    <t>Define approved secure baselines for relevant systems and manage exceptions.</t>
  </si>
  <si>
    <t>R-010</t>
  </si>
  <si>
    <t>Create baseline standards using appropriate vendor/hardening guidance and implement configuration review.</t>
  </si>
  <si>
    <t>Consistent baselines reduce preventable configuration weaknesses.</t>
  </si>
  <si>
    <t>GAP-021</t>
  </si>
  <si>
    <t>System development lifecycle and environment separation</t>
  </si>
  <si>
    <t>A formal secure SDLC and separation between development/testing and production are not established.</t>
  </si>
  <si>
    <t>Security requirements should be integrated into the SDLC and production separated from non-production environments.</t>
  </si>
  <si>
    <t>Formalize SDLC security gates and segregate development, test, and production access/environments.</t>
  </si>
  <si>
    <t>Development / IT</t>
  </si>
  <si>
    <t>Weak development controls can introduce vulnerabilities directly into production.</t>
  </si>
  <si>
    <t>GAP-022</t>
  </si>
  <si>
    <t>Configuration change control</t>
  </si>
  <si>
    <t>A well-documented change-management process for technology changes is not established.</t>
  </si>
  <si>
    <t>Changes should be requested, assessed, approved, tested, documented, and reviewed.</t>
  </si>
  <si>
    <t>Implement formal change control with risk/impact review, approvals, testing, rollback, and emergency-change procedures.</t>
  </si>
  <si>
    <t>Uncontrolled changes can cause outages and security regressions.</t>
  </si>
  <si>
    <t>GAP-023</t>
  </si>
  <si>
    <t>Protective Technology</t>
  </si>
  <si>
    <t>Security logging requirements</t>
  </si>
  <si>
    <t>Audit/security log requirements are not formally determined, implemented, and reviewed across critical systems.</t>
  </si>
  <si>
    <t>Define what must be logged, retention requirements, review responsibilities, and escalation expectations.</t>
  </si>
  <si>
    <t>R-011</t>
  </si>
  <si>
    <t>Establish logging standard and onboard priority systems in phases.</t>
  </si>
  <si>
    <t>Security / IT</t>
  </si>
  <si>
    <t>Logging is a prerequisite for effective detection and investigation.</t>
  </si>
  <si>
    <t>GAP-024</t>
  </si>
  <si>
    <t>Removable media and unmanaged-device controls</t>
  </si>
  <si>
    <t>Policies governing removable media and outside devices are absent or unclear.</t>
  </si>
  <si>
    <t>Restrict removable media and unmanaged devices according to business need and security policy.</t>
  </si>
  <si>
    <t>Define removable-media/BYOD rules; enforce device registration and technical restrictions where appropriate.</t>
  </si>
  <si>
    <t>IT / Security</t>
  </si>
  <si>
    <t>Unmanaged devices can introduce malware or facilitate data loss.</t>
  </si>
  <si>
    <t>GAP-025</t>
  </si>
  <si>
    <t>Detect</t>
  </si>
  <si>
    <t>Anomalies &amp; Events</t>
  </si>
  <si>
    <t>Centralized SIEM and event correlation</t>
  </si>
  <si>
    <t>No SIEM is operating and logs are not centrally aggregated/correlated.</t>
  </si>
  <si>
    <t>Centralize relevant telemetry and correlate events against defined detection use cases.</t>
  </si>
  <si>
    <t>Implement centralized logging/SIEM in phases, beginning with critical identity, endpoint, cloud, and infrastructure sources.</t>
  </si>
  <si>
    <t>Security Operations / IT</t>
  </si>
  <si>
    <t>Year 2 – Q1/Q2</t>
  </si>
  <si>
    <t>Lack of correlation materially increases detection time and limits investigations.</t>
  </si>
  <si>
    <t>GAP-026</t>
  </si>
  <si>
    <t>Detection Processes</t>
  </si>
  <si>
    <t>Detection roles, thresholds, escalation, testing, and improvement</t>
  </si>
  <si>
    <t>Cyber detection responsibilities, alert thresholds, escalation paths, testing, communication, and continuous improvement are not formally defined.</t>
  </si>
  <si>
    <t>Operate documented detection processes with accountable roles, thresholds, escalation, testing, and lessons learned.</t>
  </si>
  <si>
    <t>Define detection RACI, severity/threshold criteria, triage workflow, escalation, exercises, and improvement cycle.</t>
  </si>
  <si>
    <t>Security Lead / IT</t>
  </si>
  <si>
    <t>Technology alone will not create an effective detection capability.</t>
  </si>
  <si>
    <t>GAP-027</t>
  </si>
  <si>
    <t>Continuous Monitoring</t>
  </si>
  <si>
    <t>Endpoint malware protection</t>
  </si>
  <si>
    <t>No anti-malware solution is in place to evaluate or protect endpoint/server coverage.</t>
  </si>
  <si>
    <t>Deploy centrally managed endpoint protection appropriate to in-scope operating systems and monitor detections.</t>
  </si>
  <si>
    <t>R-012</t>
  </si>
  <si>
    <t>Deploy EDR/anti-malware; define coverage, configuration, alert handling, and health monitoring.</t>
  </si>
  <si>
    <t>IT Operations / Security</t>
  </si>
  <si>
    <t>Endpoints are a common attack path and require a basic preventive/detective layer.</t>
  </si>
  <si>
    <t>GAP-028</t>
  </si>
  <si>
    <t>Third-party breach/security monitoring</t>
  </si>
  <si>
    <t>There is no process for collecting breach/security information from third parties.</t>
  </si>
  <si>
    <t>Critical providers should have contractual notification requirements and ongoing security monitoring.</t>
  </si>
  <si>
    <t>Add breach notification and evidence requirements to contracts; monitor critical providers and reassess after incidents.</t>
  </si>
  <si>
    <t>Vendor incidents can affect Oscorp even when internal controls are operating.</t>
  </si>
  <si>
    <t>GAP-029</t>
  </si>
  <si>
    <t>Respond</t>
  </si>
  <si>
    <t>Response Planning</t>
  </si>
  <si>
    <t>Cybersecurity incident response plan and execution</t>
  </si>
  <si>
    <t>No mature cybersecurity incident response plan or dedicated response capability is in place.</t>
  </si>
  <si>
    <t>Maintain and exercise an incident response plan covering preparation, escalation, analysis, containment, eradication, recovery, and lessons learned.</t>
  </si>
  <si>
    <t>R-013</t>
  </si>
  <si>
    <t>Develop IR plan, severity model, RACI, contacts, playbooks, containment/mitigation procedures, and tabletop exercises.</t>
  </si>
  <si>
    <t>Security Lead / IT / Executive Leadership</t>
  </si>
  <si>
    <t>A security event can become materially worse when response authority and actions are undefined.</t>
  </si>
  <si>
    <t>GAP-030</t>
  </si>
  <si>
    <t>Analysis</t>
  </si>
  <si>
    <t>Cyber incident investigation and digital forensics</t>
  </si>
  <si>
    <t>Cyber alerts are not supported by mature investigation processes or digital forensic capability.</t>
  </si>
  <si>
    <t>Establish repeatable investigation, evidence handling, incident-impact analysis, and access to forensic expertise.</t>
  </si>
  <si>
    <t>R-014</t>
  </si>
  <si>
    <t>Define investigation/evidence procedures and establish qualified external forensic support while internal capability matures.</t>
  </si>
  <si>
    <t>Security Lead / Legal / IT</t>
  </si>
  <si>
    <t>Outsourced expertise can be more realistic than immediately building a dedicated forensic team.</t>
  </si>
  <si>
    <t>GAP-031</t>
  </si>
  <si>
    <t>Mitigation</t>
  </si>
  <si>
    <t>Incident containment and mitigation</t>
  </si>
  <si>
    <t>Containment, mitigation, vulnerability handling, and incident prioritization are not supported by a mature response process.</t>
  </si>
  <si>
    <t>Use documented containment, eradication, mitigation, and vulnerability-response procedures aligned to incident severity.</t>
  </si>
  <si>
    <t>Develop response playbooks and integrate vulnerability management with incident handling and risk acceptance.</t>
  </si>
  <si>
    <t>Uncontained incidents can spread and increase operational and financial impact.</t>
  </si>
  <si>
    <t>GAP-032</t>
  </si>
  <si>
    <t>Recover</t>
  </si>
  <si>
    <t>Recovery Planning</t>
  </si>
  <si>
    <t>Disaster recovery testing</t>
  </si>
  <si>
    <t>Oscorp has a disaster recovery plan that is regularly tested.</t>
  </si>
  <si>
    <t>Continue testing and maintain evidence of results, issues, and remediation.</t>
  </si>
  <si>
    <t>Pass</t>
  </si>
  <si>
    <t>R-015</t>
  </si>
  <si>
    <t>Preserve the existing capability and formalize evidence, metrics, and linkage to business impact requirements.</t>
  </si>
  <si>
    <t>Low</t>
  </si>
  <si>
    <t>Year 1 – Ongoing</t>
  </si>
  <si>
    <t>This is an existing strength and should be sustained rather than treated as a deficiency.</t>
  </si>
  <si>
    <t>GAP-033</t>
  </si>
  <si>
    <t>Improvements</t>
  </si>
  <si>
    <t>Recovery lessons learned and update cycle</t>
  </si>
  <si>
    <t>Lessons learned are undefined; periodic testing occurs, but an update schedule should be formalized.</t>
  </si>
  <si>
    <t>Recovery plans should incorporate lessons learned and be updated through a documented review cycle.</t>
  </si>
  <si>
    <t>Add post-exercise/incident reviews, tracked actions, ownership, and a defined recovery-plan review schedule.</t>
  </si>
  <si>
    <t>Year 2</t>
  </si>
  <si>
    <t>Builds maturity on top of the existing tested DR capability.</t>
  </si>
  <si>
    <t>GAP-034</t>
  </si>
  <si>
    <t>Communications</t>
  </si>
  <si>
    <t>Crisis, executive, and reputation communications</t>
  </si>
  <si>
    <t>Recovery communication/escalation, public relations, and reputation-repair responsibilities are undefined.</t>
  </si>
  <si>
    <t>Maintain crisis communication procedures covering executives, internal stakeholders, external parties, and reputation management.</t>
  </si>
  <si>
    <t>Create crisis communication/escalation procedures and assign communications/PR responsibilities; exercise them with DR/IR.</t>
  </si>
  <si>
    <t>Executive Leadership / Communications</t>
  </si>
  <si>
    <t>Recovery is not complete if stakeholders do not receive timely, coordinated information.</t>
  </si>
  <si>
    <t>Oscorp Gap Assessment Summary</t>
  </si>
  <si>
    <t>Total Gaps</t>
  </si>
  <si>
    <t>Avg Current Maturity</t>
  </si>
  <si>
    <t>Avg Target Maturity</t>
  </si>
  <si>
    <t>Avg Maturity Gap</t>
  </si>
  <si>
    <t>Portfolio Interpretation</t>
  </si>
  <si>
    <t>Critical gaps</t>
  </si>
  <si>
    <t>Governance, formal risk management, third-party risk, access control, data protection, centralized logging/SIEM, endpoint protection, and incident response.</t>
  </si>
  <si>
    <t>Existing strength</t>
  </si>
  <si>
    <t>Oscorp's disaster recovery plan is regularly tested; the gap is primarily around lessons learned, update governance, and crisis communications.</t>
  </si>
  <si>
    <t>Use of maturity</t>
  </si>
  <si>
    <t>Maturity scores measure distance from the desired control state; they are separate from the 1–5 likelihood/impact risk model.</t>
  </si>
  <si>
    <t>Traceability</t>
  </si>
  <si>
    <t>Every gap maps to a related risk ID so the assessment can flow into treatment planning and the 3-year roadmap.</t>
  </si>
  <si>
    <t>Control Maturity Model</t>
  </si>
  <si>
    <t>Level</t>
  </si>
  <si>
    <t>Maturity</t>
  </si>
  <si>
    <t>Definition</t>
  </si>
  <si>
    <t>Not Implemented</t>
  </si>
  <si>
    <t>No control or repeatable process exists.</t>
  </si>
  <si>
    <t>Initial</t>
  </si>
  <si>
    <t>Ad hoc, informal, incomplete, or dependent on individual effort.</t>
  </si>
  <si>
    <t>Developing</t>
  </si>
  <si>
    <t>Partially implemented; some documentation or repeatability exists, but coverage is inconsistent.</t>
  </si>
  <si>
    <t>Defined</t>
  </si>
  <si>
    <t>Documented, assigned, and consistently implemented across the intended scope.</t>
  </si>
  <si>
    <t>Managed</t>
  </si>
  <si>
    <t>Measured, monitored, tested, and periodically reviewed for effectiveness.</t>
  </si>
  <si>
    <t>Optimized</t>
  </si>
  <si>
    <t>Continuously improved, integrated, and adapted using performance and risk information.</t>
  </si>
  <si>
    <t>How to use the model</t>
  </si>
  <si>
    <t>Score the control based on evidence in the source assessment.</t>
  </si>
  <si>
    <t>Choose the level appropriate to business risk and roadmap goals; not every control needs Level 5.</t>
  </si>
  <si>
    <t>Target Maturity minus Current Maturity. This measures control improvement needed, not business risk severity.</t>
  </si>
  <si>
    <t>Management Priority Gaps</t>
  </si>
  <si>
    <t>Capability</t>
  </si>
  <si>
    <t>Related Risk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</si>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</sst>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8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6795556505021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0" xfId="0" applyBorder="1"/>
    <xf numFmtId="164" fontId="0" fillId="0" borderId="10" xfId="0" applyNumberFormat="1" applyBorder="1"/>
    <xf numFmtId="0" fontId="0" fillId="0" borderId="0" xfId="0" applyBorder="1"/>
    <xf numFmtId="0" fontId="0" fillId="5" borderId="10" xfId="0" applyFill="1" applyBorder="1"/>
    <xf numFmtId="164" fontId="0" fillId="5" borderId="10" xfId="0" applyNumberFormat="1" applyFill="1" applyBorder="1"/>
    <xf numFmtId="164" fontId="0" fillId="6" borderId="10" xfId="0" applyNumberFormat="1" applyFill="1" applyBorder="1"/>
    <xf numFmtId="164" fontId="0" fillId="7" borderId="10" xfId="0" applyNumberFormat="1" applyFill="1" applyBorder="1"/>
    <xf numFmtId="0" fontId="0" fillId="7" borderId="10" xfId="0" applyFill="1" applyBorder="1"/>
    <xf numFmtId="0" fontId="0" fillId="8" borderId="10" xfId="0" applyFill="1" applyBorder="1"/>
  </cellXfs>
  <cellStyles count="1">
    <cellStyle name="Normal" xfId="0" builtinId="0"/>
  </cellStyles>
  <dxfs count="4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pAssessmentTable" displayName="GapAssessmentTable" ref="A4:P38" totalsRowShown="0">
  <tableColumns count="16">
    <tableColumn id="1" xr3:uid="{00000000-0010-0000-0000-000001000000}" name="Gap ID"/>
    <tableColumn id="2" xr3:uid="{00000000-0010-0000-0000-000002000000}" name="NIST Function"/>
    <tableColumn id="3" xr3:uid="{00000000-0010-0000-0000-000003000000}" name="NIST Category"/>
    <tableColumn id="4" xr3:uid="{00000000-0010-0000-0000-000004000000}" name="Control / Capability"/>
    <tableColumn id="5" xr3:uid="{00000000-0010-0000-0000-000005000000}" name="Current State"/>
    <tableColumn id="6" xr3:uid="{00000000-0010-0000-0000-000006000000}" name="Target State"/>
    <tableColumn id="7" xr3:uid="{00000000-0010-0000-0000-000007000000}" name="Status"/>
    <tableColumn id="8" xr3:uid="{00000000-0010-0000-0000-000008000000}" name="Current Maturity"/>
    <tableColumn id="9" xr3:uid="{00000000-0010-0000-0000-000009000000}" name="Target Maturity"/>
    <tableColumn id="10" xr3:uid="{00000000-0010-0000-0000-00000A000000}" name="Maturity Gap"/>
    <tableColumn id="11" xr3:uid="{00000000-0010-0000-0000-00000B000000}" name="Related Risk ID"/>
    <tableColumn id="12" xr3:uid="{00000000-0010-0000-0000-00000C000000}" name="Recommended Action"/>
    <tableColumn id="13" xr3:uid="{00000000-0010-0000-0000-00000D000000}" name="Priority"/>
    <tableColumn id="14" xr3:uid="{00000000-0010-0000-0000-00000E000000}" name="Responsible Owner"/>
    <tableColumn id="15" xr3:uid="{00000000-0010-0000-0000-00000F000000}" name="Roadmap Phase"/>
    <tableColumn id="16" xr3:uid="{00000000-0010-0000-0000-000010000000}" name="Business / Security 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orityGapsTable" displayName="PriorityGapsTable" ref="A3:G17" totalsRowShown="0">
  <tableColumns count="7">
    <tableColumn id="1" xr3:uid="{00000000-0010-0000-0100-000001000000}" name="Priority"/>
    <tableColumn id="2" xr3:uid="{00000000-0010-0000-0100-000002000000}" name="Gap ID"/>
    <tableColumn id="3" xr3:uid="{00000000-0010-0000-0100-000003000000}" name="Capability"/>
    <tableColumn id="4" xr3:uid="{00000000-0010-0000-0100-000004000000}" name="Related Risk"/>
    <tableColumn id="5" xr3:uid="{00000000-0010-0000-0100-000005000000}" name="Recommended Action"/>
    <tableColumn id="6" xr3:uid="{00000000-0010-0000-0100-000006000000}" name="Owner"/>
    <tableColumn id="7" xr3:uid="{00000000-0010-0000-0100-000007000000}" name="Roadmap P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workbookViewId="0">
      <selection sqref="A1:P1"/>
    </sheetView>
  </sheetViews>
  <sheetFormatPr defaultRowHeight="14.25"/>
  <cols>
    <col min="1" max="1" width="11" customWidth="1"/>
    <col min="2" max="2" width="13" customWidth="1"/>
    <col min="3" max="3" width="20" customWidth="1"/>
    <col min="4" max="4" width="30" customWidth="1"/>
    <col min="5" max="6" width="40" customWidth="1"/>
    <col min="7" max="7" width="12" customWidth="1"/>
    <col min="8" max="9" width="15" customWidth="1"/>
    <col min="10" max="10" width="13" customWidth="1"/>
    <col min="11" max="11" width="14" customWidth="1"/>
    <col min="12" max="12" width="48" customWidth="1"/>
    <col min="13" max="13" width="12" customWidth="1"/>
    <col min="14" max="14" width="26" customWidth="1"/>
    <col min="15" max="15" width="18" customWidth="1"/>
    <col min="16" max="16" width="42" customWidth="1"/>
  </cols>
  <sheetData>
    <row r="1" spans="1:16" ht="27.9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27.9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spans="1:16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62.1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>
        <v>2</v>
      </c>
      <c r="I5" s="2">
        <v>3</v>
      </c>
      <c r="J5" s="2">
        <f t="shared" ref="J5:J38" si="0">MAX(0,I5-H5)</f>
        <v>1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  <c r="P5" s="2" t="s">
        <v>30</v>
      </c>
    </row>
    <row r="6" spans="1:16" ht="62.1" customHeight="1">
      <c r="A6" s="2" t="s">
        <v>31</v>
      </c>
      <c r="B6" s="2" t="s">
        <v>19</v>
      </c>
      <c r="C6" s="2" t="s">
        <v>20</v>
      </c>
      <c r="D6" s="2" t="s">
        <v>32</v>
      </c>
      <c r="E6" s="2" t="s">
        <v>33</v>
      </c>
      <c r="F6" s="2" t="s">
        <v>34</v>
      </c>
      <c r="G6" s="2" t="s">
        <v>35</v>
      </c>
      <c r="H6" s="2">
        <v>1</v>
      </c>
      <c r="I6" s="2">
        <v>3</v>
      </c>
      <c r="J6" s="2">
        <f t="shared" si="0"/>
        <v>2</v>
      </c>
      <c r="K6" s="2" t="s">
        <v>25</v>
      </c>
      <c r="L6" s="2" t="s">
        <v>36</v>
      </c>
      <c r="M6" s="2" t="s">
        <v>27</v>
      </c>
      <c r="N6" s="2" t="s">
        <v>28</v>
      </c>
      <c r="O6" s="2" t="s">
        <v>29</v>
      </c>
      <c r="P6" s="2" t="s">
        <v>37</v>
      </c>
    </row>
    <row r="7" spans="1:16" ht="62.1" customHeight="1">
      <c r="A7" s="2" t="s">
        <v>38</v>
      </c>
      <c r="B7" s="2" t="s">
        <v>19</v>
      </c>
      <c r="C7" s="2" t="s">
        <v>20</v>
      </c>
      <c r="D7" s="2" t="s">
        <v>39</v>
      </c>
      <c r="E7" s="2" t="s">
        <v>40</v>
      </c>
      <c r="F7" s="2" t="s">
        <v>41</v>
      </c>
      <c r="G7" s="2" t="s">
        <v>35</v>
      </c>
      <c r="H7" s="2">
        <v>0</v>
      </c>
      <c r="I7" s="2">
        <v>3</v>
      </c>
      <c r="J7" s="2">
        <f t="shared" si="0"/>
        <v>3</v>
      </c>
      <c r="K7" s="2" t="s">
        <v>42</v>
      </c>
      <c r="L7" s="2" t="s">
        <v>43</v>
      </c>
      <c r="M7" s="2" t="s">
        <v>27</v>
      </c>
      <c r="N7" s="2" t="s">
        <v>44</v>
      </c>
      <c r="O7" s="2" t="s">
        <v>45</v>
      </c>
      <c r="P7" s="2" t="s">
        <v>46</v>
      </c>
    </row>
    <row r="8" spans="1:16" ht="62.1" customHeight="1">
      <c r="A8" s="2" t="s">
        <v>47</v>
      </c>
      <c r="B8" s="2" t="s">
        <v>19</v>
      </c>
      <c r="C8" s="2" t="s">
        <v>20</v>
      </c>
      <c r="D8" s="2" t="s">
        <v>48</v>
      </c>
      <c r="E8" s="2" t="s">
        <v>49</v>
      </c>
      <c r="F8" s="2" t="s">
        <v>50</v>
      </c>
      <c r="G8" s="2" t="s">
        <v>35</v>
      </c>
      <c r="H8" s="2">
        <v>1</v>
      </c>
      <c r="I8" s="2">
        <v>3</v>
      </c>
      <c r="J8" s="2">
        <f t="shared" si="0"/>
        <v>2</v>
      </c>
      <c r="K8" s="2" t="s">
        <v>25</v>
      </c>
      <c r="L8" s="2" t="s">
        <v>51</v>
      </c>
      <c r="M8" s="2" t="s">
        <v>27</v>
      </c>
      <c r="N8" s="2" t="s">
        <v>52</v>
      </c>
      <c r="O8" s="2" t="s">
        <v>45</v>
      </c>
      <c r="P8" s="2" t="s">
        <v>53</v>
      </c>
    </row>
    <row r="9" spans="1:16" ht="62.1" customHeight="1">
      <c r="A9" s="2" t="s">
        <v>54</v>
      </c>
      <c r="B9" s="2" t="s">
        <v>19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35</v>
      </c>
      <c r="H9" s="2">
        <v>0</v>
      </c>
      <c r="I9" s="2">
        <v>3</v>
      </c>
      <c r="J9" s="2">
        <f t="shared" si="0"/>
        <v>3</v>
      </c>
      <c r="K9" s="2" t="s">
        <v>59</v>
      </c>
      <c r="L9" s="2" t="s">
        <v>60</v>
      </c>
      <c r="M9" s="2" t="s">
        <v>61</v>
      </c>
      <c r="N9" s="2" t="s">
        <v>62</v>
      </c>
      <c r="O9" s="2" t="s">
        <v>63</v>
      </c>
      <c r="P9" s="2" t="s">
        <v>64</v>
      </c>
    </row>
    <row r="10" spans="1:16" ht="62.1" customHeight="1">
      <c r="A10" s="2" t="s">
        <v>65</v>
      </c>
      <c r="B10" s="2" t="s">
        <v>19</v>
      </c>
      <c r="C10" s="2" t="s">
        <v>55</v>
      </c>
      <c r="D10" s="2" t="s">
        <v>66</v>
      </c>
      <c r="E10" s="2" t="s">
        <v>67</v>
      </c>
      <c r="F10" s="2" t="s">
        <v>68</v>
      </c>
      <c r="G10" s="2" t="s">
        <v>35</v>
      </c>
      <c r="H10" s="2">
        <v>0</v>
      </c>
      <c r="I10" s="2">
        <v>3</v>
      </c>
      <c r="J10" s="2">
        <f t="shared" si="0"/>
        <v>3</v>
      </c>
      <c r="K10" s="2" t="s">
        <v>59</v>
      </c>
      <c r="L10" s="2" t="s">
        <v>69</v>
      </c>
      <c r="M10" s="2" t="s">
        <v>61</v>
      </c>
      <c r="N10" s="2" t="s">
        <v>70</v>
      </c>
      <c r="O10" s="2" t="s">
        <v>71</v>
      </c>
      <c r="P10" s="2" t="s">
        <v>72</v>
      </c>
    </row>
    <row r="11" spans="1:16" ht="62.1" customHeight="1">
      <c r="A11" s="2" t="s">
        <v>73</v>
      </c>
      <c r="B11" s="2" t="s">
        <v>19</v>
      </c>
      <c r="C11" s="2" t="s">
        <v>55</v>
      </c>
      <c r="D11" s="2" t="s">
        <v>74</v>
      </c>
      <c r="E11" s="2" t="s">
        <v>75</v>
      </c>
      <c r="F11" s="2" t="s">
        <v>76</v>
      </c>
      <c r="G11" s="2" t="s">
        <v>35</v>
      </c>
      <c r="H11" s="2">
        <v>1</v>
      </c>
      <c r="I11" s="2">
        <v>3</v>
      </c>
      <c r="J11" s="2">
        <f t="shared" si="0"/>
        <v>2</v>
      </c>
      <c r="K11" s="2" t="s">
        <v>59</v>
      </c>
      <c r="L11" s="2" t="s">
        <v>77</v>
      </c>
      <c r="M11" s="2" t="s">
        <v>27</v>
      </c>
      <c r="N11" s="2" t="s">
        <v>78</v>
      </c>
      <c r="O11" s="2" t="s">
        <v>29</v>
      </c>
      <c r="P11" s="2" t="s">
        <v>79</v>
      </c>
    </row>
    <row r="12" spans="1:16" ht="62.1" customHeight="1">
      <c r="A12" s="2" t="s">
        <v>80</v>
      </c>
      <c r="B12" s="2" t="s">
        <v>19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35</v>
      </c>
      <c r="H12" s="2">
        <v>0</v>
      </c>
      <c r="I12" s="2">
        <v>3</v>
      </c>
      <c r="J12" s="2">
        <f t="shared" si="0"/>
        <v>3</v>
      </c>
      <c r="K12" s="2" t="s">
        <v>85</v>
      </c>
      <c r="L12" s="2" t="s">
        <v>86</v>
      </c>
      <c r="M12" s="2" t="s">
        <v>61</v>
      </c>
      <c r="N12" s="2" t="s">
        <v>70</v>
      </c>
      <c r="O12" s="2" t="s">
        <v>71</v>
      </c>
      <c r="P12" s="2" t="s">
        <v>87</v>
      </c>
    </row>
    <row r="13" spans="1:16" ht="62.1" customHeight="1">
      <c r="A13" s="2" t="s">
        <v>88</v>
      </c>
      <c r="B13" s="2" t="s">
        <v>19</v>
      </c>
      <c r="C13" s="2" t="s">
        <v>81</v>
      </c>
      <c r="D13" s="2" t="s">
        <v>89</v>
      </c>
      <c r="E13" s="2" t="s">
        <v>90</v>
      </c>
      <c r="F13" s="2" t="s">
        <v>91</v>
      </c>
      <c r="G13" s="2" t="s">
        <v>35</v>
      </c>
      <c r="H13" s="2">
        <v>0</v>
      </c>
      <c r="I13" s="2">
        <v>3</v>
      </c>
      <c r="J13" s="2">
        <f t="shared" si="0"/>
        <v>3</v>
      </c>
      <c r="K13" s="2" t="s">
        <v>85</v>
      </c>
      <c r="L13" s="2" t="s">
        <v>92</v>
      </c>
      <c r="M13" s="2" t="s">
        <v>27</v>
      </c>
      <c r="N13" s="2" t="s">
        <v>62</v>
      </c>
      <c r="O13" s="2" t="s">
        <v>29</v>
      </c>
      <c r="P13" s="2" t="s">
        <v>93</v>
      </c>
    </row>
    <row r="14" spans="1:16" ht="62.1" customHeight="1">
      <c r="A14" s="2" t="s">
        <v>94</v>
      </c>
      <c r="B14" s="2" t="s">
        <v>19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35</v>
      </c>
      <c r="H14" s="2">
        <v>0</v>
      </c>
      <c r="I14" s="2">
        <v>3</v>
      </c>
      <c r="J14" s="2">
        <f t="shared" si="0"/>
        <v>3</v>
      </c>
      <c r="K14" s="2" t="s">
        <v>85</v>
      </c>
      <c r="L14" s="2" t="s">
        <v>99</v>
      </c>
      <c r="M14" s="2" t="s">
        <v>61</v>
      </c>
      <c r="N14" s="2" t="s">
        <v>100</v>
      </c>
      <c r="O14" s="2" t="s">
        <v>29</v>
      </c>
      <c r="P14" s="2" t="s">
        <v>101</v>
      </c>
    </row>
    <row r="15" spans="1:16" ht="62.1" customHeight="1">
      <c r="A15" s="2" t="s">
        <v>102</v>
      </c>
      <c r="B15" s="2" t="s">
        <v>19</v>
      </c>
      <c r="C15" s="2" t="s">
        <v>103</v>
      </c>
      <c r="D15" s="2" t="s">
        <v>104</v>
      </c>
      <c r="E15" s="2" t="s">
        <v>105</v>
      </c>
      <c r="F15" s="2" t="s">
        <v>106</v>
      </c>
      <c r="G15" s="2" t="s">
        <v>35</v>
      </c>
      <c r="H15" s="2">
        <v>0</v>
      </c>
      <c r="I15" s="2">
        <v>3</v>
      </c>
      <c r="J15" s="2">
        <f t="shared" si="0"/>
        <v>3</v>
      </c>
      <c r="K15" s="2" t="s">
        <v>107</v>
      </c>
      <c r="L15" s="2" t="s">
        <v>108</v>
      </c>
      <c r="M15" s="2" t="s">
        <v>61</v>
      </c>
      <c r="N15" s="2" t="s">
        <v>109</v>
      </c>
      <c r="O15" s="2" t="s">
        <v>45</v>
      </c>
      <c r="P15" s="2" t="s">
        <v>110</v>
      </c>
    </row>
    <row r="16" spans="1:16" ht="62.1" customHeight="1">
      <c r="A16" s="2" t="s">
        <v>111</v>
      </c>
      <c r="B16" s="2" t="s">
        <v>19</v>
      </c>
      <c r="C16" s="2" t="s">
        <v>112</v>
      </c>
      <c r="D16" s="2" t="s">
        <v>113</v>
      </c>
      <c r="E16" s="2" t="s">
        <v>114</v>
      </c>
      <c r="F16" s="2" t="s">
        <v>115</v>
      </c>
      <c r="G16" s="2" t="s">
        <v>35</v>
      </c>
      <c r="H16" s="2">
        <v>1</v>
      </c>
      <c r="I16" s="2">
        <v>3</v>
      </c>
      <c r="J16" s="2">
        <f t="shared" si="0"/>
        <v>2</v>
      </c>
      <c r="K16" s="2" t="s">
        <v>116</v>
      </c>
      <c r="L16" s="2" t="s">
        <v>117</v>
      </c>
      <c r="M16" s="2" t="s">
        <v>27</v>
      </c>
      <c r="N16" s="2" t="s">
        <v>118</v>
      </c>
      <c r="O16" s="2" t="s">
        <v>45</v>
      </c>
      <c r="P16" s="2" t="s">
        <v>119</v>
      </c>
    </row>
    <row r="17" spans="1:16" ht="62.1" customHeight="1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35</v>
      </c>
      <c r="H17" s="2">
        <v>0</v>
      </c>
      <c r="I17" s="2">
        <v>3</v>
      </c>
      <c r="J17" s="2">
        <f t="shared" si="0"/>
        <v>3</v>
      </c>
      <c r="K17" s="2" t="s">
        <v>126</v>
      </c>
      <c r="L17" s="2" t="s">
        <v>127</v>
      </c>
      <c r="M17" s="2" t="s">
        <v>27</v>
      </c>
      <c r="N17" s="2" t="s">
        <v>128</v>
      </c>
      <c r="O17" s="2" t="s">
        <v>129</v>
      </c>
      <c r="P17" s="2" t="s">
        <v>130</v>
      </c>
    </row>
    <row r="18" spans="1:16" ht="62.1" customHeight="1">
      <c r="A18" s="2" t="s">
        <v>131</v>
      </c>
      <c r="B18" s="2" t="s">
        <v>121</v>
      </c>
      <c r="C18" s="2" t="s">
        <v>122</v>
      </c>
      <c r="D18" s="2" t="s">
        <v>132</v>
      </c>
      <c r="E18" s="2" t="s">
        <v>133</v>
      </c>
      <c r="F18" s="2" t="s">
        <v>134</v>
      </c>
      <c r="G18" s="2" t="s">
        <v>35</v>
      </c>
      <c r="H18" s="2">
        <v>1</v>
      </c>
      <c r="I18" s="2">
        <v>3</v>
      </c>
      <c r="J18" s="2">
        <f t="shared" si="0"/>
        <v>2</v>
      </c>
      <c r="K18" s="2" t="s">
        <v>135</v>
      </c>
      <c r="L18" s="2" t="s">
        <v>136</v>
      </c>
      <c r="M18" s="2" t="s">
        <v>61</v>
      </c>
      <c r="N18" s="2" t="s">
        <v>128</v>
      </c>
      <c r="O18" s="2" t="s">
        <v>137</v>
      </c>
      <c r="P18" s="2" t="s">
        <v>138</v>
      </c>
    </row>
    <row r="19" spans="1:16" ht="62.1" customHeight="1">
      <c r="A19" s="2" t="s">
        <v>139</v>
      </c>
      <c r="B19" s="2" t="s">
        <v>121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35</v>
      </c>
      <c r="H19" s="2">
        <v>1</v>
      </c>
      <c r="I19" s="2">
        <v>3</v>
      </c>
      <c r="J19" s="2">
        <f t="shared" si="0"/>
        <v>2</v>
      </c>
      <c r="K19" s="2" t="s">
        <v>59</v>
      </c>
      <c r="L19" s="2" t="s">
        <v>144</v>
      </c>
      <c r="M19" s="2" t="s">
        <v>27</v>
      </c>
      <c r="N19" s="2" t="s">
        <v>145</v>
      </c>
      <c r="O19" s="2" t="s">
        <v>129</v>
      </c>
      <c r="P19" s="2" t="s">
        <v>146</v>
      </c>
    </row>
    <row r="20" spans="1:16" ht="62.1" customHeight="1">
      <c r="A20" s="2" t="s">
        <v>147</v>
      </c>
      <c r="B20" s="2" t="s">
        <v>121</v>
      </c>
      <c r="C20" s="2" t="s">
        <v>140</v>
      </c>
      <c r="D20" s="2" t="s">
        <v>148</v>
      </c>
      <c r="E20" s="2" t="s">
        <v>149</v>
      </c>
      <c r="F20" s="2" t="s">
        <v>150</v>
      </c>
      <c r="G20" s="2" t="s">
        <v>35</v>
      </c>
      <c r="H20" s="2">
        <v>1</v>
      </c>
      <c r="I20" s="2">
        <v>3</v>
      </c>
      <c r="J20" s="2">
        <f t="shared" si="0"/>
        <v>2</v>
      </c>
      <c r="K20" s="2" t="s">
        <v>59</v>
      </c>
      <c r="L20" s="2" t="s">
        <v>151</v>
      </c>
      <c r="M20" s="2" t="s">
        <v>27</v>
      </c>
      <c r="N20" s="2" t="s">
        <v>152</v>
      </c>
      <c r="O20" s="2" t="s">
        <v>153</v>
      </c>
      <c r="P20" s="2" t="s">
        <v>154</v>
      </c>
    </row>
    <row r="21" spans="1:16" ht="62.1" customHeight="1">
      <c r="A21" s="2" t="s">
        <v>155</v>
      </c>
      <c r="B21" s="2" t="s">
        <v>121</v>
      </c>
      <c r="C21" s="2" t="s">
        <v>156</v>
      </c>
      <c r="D21" s="2" t="s">
        <v>157</v>
      </c>
      <c r="E21" s="2" t="s">
        <v>158</v>
      </c>
      <c r="F21" s="2" t="s">
        <v>159</v>
      </c>
      <c r="G21" s="2" t="s">
        <v>35</v>
      </c>
      <c r="H21" s="2">
        <v>1</v>
      </c>
      <c r="I21" s="2">
        <v>3</v>
      </c>
      <c r="J21" s="2">
        <f t="shared" si="0"/>
        <v>2</v>
      </c>
      <c r="K21" s="2" t="s">
        <v>160</v>
      </c>
      <c r="L21" s="2" t="s">
        <v>161</v>
      </c>
      <c r="M21" s="2" t="s">
        <v>61</v>
      </c>
      <c r="N21" s="2" t="s">
        <v>162</v>
      </c>
      <c r="O21" s="2" t="s">
        <v>153</v>
      </c>
      <c r="P21" s="2" t="s">
        <v>163</v>
      </c>
    </row>
    <row r="22" spans="1:16" ht="62.1" customHeight="1">
      <c r="A22" s="2" t="s">
        <v>164</v>
      </c>
      <c r="B22" s="2" t="s">
        <v>121</v>
      </c>
      <c r="C22" s="2" t="s">
        <v>156</v>
      </c>
      <c r="D22" s="2" t="s">
        <v>165</v>
      </c>
      <c r="E22" s="2" t="s">
        <v>166</v>
      </c>
      <c r="F22" s="2" t="s">
        <v>167</v>
      </c>
      <c r="G22" s="2" t="s">
        <v>35</v>
      </c>
      <c r="H22" s="2">
        <v>0</v>
      </c>
      <c r="I22" s="2">
        <v>3</v>
      </c>
      <c r="J22" s="2">
        <f t="shared" si="0"/>
        <v>3</v>
      </c>
      <c r="K22" s="2" t="s">
        <v>160</v>
      </c>
      <c r="L22" s="2" t="s">
        <v>168</v>
      </c>
      <c r="M22" s="2" t="s">
        <v>61</v>
      </c>
      <c r="N22" s="2" t="s">
        <v>162</v>
      </c>
      <c r="O22" s="2" t="s">
        <v>169</v>
      </c>
      <c r="P22" s="2" t="s">
        <v>170</v>
      </c>
    </row>
    <row r="23" spans="1:16" ht="62.1" customHeight="1">
      <c r="A23" s="2" t="s">
        <v>171</v>
      </c>
      <c r="B23" s="2" t="s">
        <v>121</v>
      </c>
      <c r="C23" s="2" t="s">
        <v>156</v>
      </c>
      <c r="D23" s="2" t="s">
        <v>172</v>
      </c>
      <c r="E23" s="2" t="s">
        <v>173</v>
      </c>
      <c r="F23" s="2" t="s">
        <v>174</v>
      </c>
      <c r="G23" s="2" t="s">
        <v>35</v>
      </c>
      <c r="H23" s="2">
        <v>1</v>
      </c>
      <c r="I23" s="2">
        <v>3</v>
      </c>
      <c r="J23" s="2">
        <f t="shared" si="0"/>
        <v>2</v>
      </c>
      <c r="K23" s="2" t="s">
        <v>25</v>
      </c>
      <c r="L23" s="2" t="s">
        <v>175</v>
      </c>
      <c r="M23" s="2" t="s">
        <v>176</v>
      </c>
      <c r="N23" s="2" t="s">
        <v>28</v>
      </c>
      <c r="O23" s="2" t="s">
        <v>177</v>
      </c>
      <c r="P23" s="2" t="s">
        <v>178</v>
      </c>
    </row>
    <row r="24" spans="1:16" ht="62.1" customHeight="1">
      <c r="A24" s="2" t="s">
        <v>179</v>
      </c>
      <c r="B24" s="2" t="s">
        <v>121</v>
      </c>
      <c r="C24" s="2" t="s">
        <v>180</v>
      </c>
      <c r="D24" s="2" t="s">
        <v>181</v>
      </c>
      <c r="E24" s="2" t="s">
        <v>182</v>
      </c>
      <c r="F24" s="2" t="s">
        <v>183</v>
      </c>
      <c r="G24" s="2" t="s">
        <v>35</v>
      </c>
      <c r="H24" s="2">
        <v>0</v>
      </c>
      <c r="I24" s="2">
        <v>3</v>
      </c>
      <c r="J24" s="2">
        <f t="shared" si="0"/>
        <v>3</v>
      </c>
      <c r="K24" s="2" t="s">
        <v>184</v>
      </c>
      <c r="L24" s="2" t="s">
        <v>185</v>
      </c>
      <c r="M24" s="2" t="s">
        <v>27</v>
      </c>
      <c r="N24" s="2" t="s">
        <v>28</v>
      </c>
      <c r="O24" s="2" t="s">
        <v>169</v>
      </c>
      <c r="P24" s="2" t="s">
        <v>186</v>
      </c>
    </row>
    <row r="25" spans="1:16" ht="62.1" customHeight="1">
      <c r="A25" s="2" t="s">
        <v>187</v>
      </c>
      <c r="B25" s="2" t="s">
        <v>121</v>
      </c>
      <c r="C25" s="2" t="s">
        <v>180</v>
      </c>
      <c r="D25" s="2" t="s">
        <v>188</v>
      </c>
      <c r="E25" s="2" t="s">
        <v>189</v>
      </c>
      <c r="F25" s="2" t="s">
        <v>190</v>
      </c>
      <c r="G25" s="2" t="s">
        <v>35</v>
      </c>
      <c r="H25" s="2">
        <v>0</v>
      </c>
      <c r="I25" s="2">
        <v>3</v>
      </c>
      <c r="J25" s="2">
        <f t="shared" si="0"/>
        <v>3</v>
      </c>
      <c r="K25" s="2" t="s">
        <v>184</v>
      </c>
      <c r="L25" s="2" t="s">
        <v>191</v>
      </c>
      <c r="M25" s="2" t="s">
        <v>27</v>
      </c>
      <c r="N25" s="2" t="s">
        <v>192</v>
      </c>
      <c r="O25" s="2" t="s">
        <v>169</v>
      </c>
      <c r="P25" s="2" t="s">
        <v>193</v>
      </c>
    </row>
    <row r="26" spans="1:16" ht="62.1" customHeight="1">
      <c r="A26" s="2" t="s">
        <v>194</v>
      </c>
      <c r="B26" s="2" t="s">
        <v>121</v>
      </c>
      <c r="C26" s="2" t="s">
        <v>180</v>
      </c>
      <c r="D26" s="2" t="s">
        <v>195</v>
      </c>
      <c r="E26" s="2" t="s">
        <v>196</v>
      </c>
      <c r="F26" s="2" t="s">
        <v>197</v>
      </c>
      <c r="G26" s="2" t="s">
        <v>35</v>
      </c>
      <c r="H26" s="2">
        <v>0</v>
      </c>
      <c r="I26" s="2">
        <v>3</v>
      </c>
      <c r="J26" s="2">
        <f t="shared" si="0"/>
        <v>3</v>
      </c>
      <c r="K26" s="2" t="s">
        <v>184</v>
      </c>
      <c r="L26" s="2" t="s">
        <v>198</v>
      </c>
      <c r="M26" s="2" t="s">
        <v>27</v>
      </c>
      <c r="N26" s="2" t="s">
        <v>28</v>
      </c>
      <c r="O26" s="2" t="s">
        <v>177</v>
      </c>
      <c r="P26" s="2" t="s">
        <v>199</v>
      </c>
    </row>
    <row r="27" spans="1:16" ht="62.1" customHeight="1">
      <c r="A27" s="2" t="s">
        <v>200</v>
      </c>
      <c r="B27" s="2" t="s">
        <v>121</v>
      </c>
      <c r="C27" s="2" t="s">
        <v>201</v>
      </c>
      <c r="D27" s="2" t="s">
        <v>202</v>
      </c>
      <c r="E27" s="2" t="s">
        <v>203</v>
      </c>
      <c r="F27" s="2" t="s">
        <v>204</v>
      </c>
      <c r="G27" s="2" t="s">
        <v>35</v>
      </c>
      <c r="H27" s="2">
        <v>0</v>
      </c>
      <c r="I27" s="2">
        <v>3</v>
      </c>
      <c r="J27" s="2">
        <f t="shared" si="0"/>
        <v>3</v>
      </c>
      <c r="K27" s="2" t="s">
        <v>205</v>
      </c>
      <c r="L27" s="2" t="s">
        <v>206</v>
      </c>
      <c r="M27" s="2" t="s">
        <v>61</v>
      </c>
      <c r="N27" s="2" t="s">
        <v>207</v>
      </c>
      <c r="O27" s="2" t="s">
        <v>177</v>
      </c>
      <c r="P27" s="2" t="s">
        <v>208</v>
      </c>
    </row>
    <row r="28" spans="1:16" ht="62.1" customHeight="1">
      <c r="A28" s="2" t="s">
        <v>209</v>
      </c>
      <c r="B28" s="2" t="s">
        <v>121</v>
      </c>
      <c r="C28" s="2" t="s">
        <v>201</v>
      </c>
      <c r="D28" s="2" t="s">
        <v>210</v>
      </c>
      <c r="E28" s="2" t="s">
        <v>211</v>
      </c>
      <c r="F28" s="2" t="s">
        <v>212</v>
      </c>
      <c r="G28" s="2" t="s">
        <v>35</v>
      </c>
      <c r="H28" s="2">
        <v>0</v>
      </c>
      <c r="I28" s="2">
        <v>3</v>
      </c>
      <c r="J28" s="2">
        <f t="shared" si="0"/>
        <v>3</v>
      </c>
      <c r="K28" s="2" t="s">
        <v>160</v>
      </c>
      <c r="L28" s="2" t="s">
        <v>213</v>
      </c>
      <c r="M28" s="2" t="s">
        <v>27</v>
      </c>
      <c r="N28" s="2" t="s">
        <v>214</v>
      </c>
      <c r="O28" s="2" t="s">
        <v>177</v>
      </c>
      <c r="P28" s="2" t="s">
        <v>215</v>
      </c>
    </row>
    <row r="29" spans="1:16" ht="62.1" customHeight="1">
      <c r="A29" s="2" t="s">
        <v>216</v>
      </c>
      <c r="B29" s="2" t="s">
        <v>217</v>
      </c>
      <c r="C29" s="2" t="s">
        <v>218</v>
      </c>
      <c r="D29" s="2" t="s">
        <v>219</v>
      </c>
      <c r="E29" s="2" t="s">
        <v>220</v>
      </c>
      <c r="F29" s="2" t="s">
        <v>221</v>
      </c>
      <c r="G29" s="2" t="s">
        <v>35</v>
      </c>
      <c r="H29" s="2">
        <v>0</v>
      </c>
      <c r="I29" s="2">
        <v>3</v>
      </c>
      <c r="J29" s="2">
        <f t="shared" si="0"/>
        <v>3</v>
      </c>
      <c r="K29" s="2" t="s">
        <v>205</v>
      </c>
      <c r="L29" s="2" t="s">
        <v>222</v>
      </c>
      <c r="M29" s="2" t="s">
        <v>61</v>
      </c>
      <c r="N29" s="2" t="s">
        <v>223</v>
      </c>
      <c r="O29" s="2" t="s">
        <v>224</v>
      </c>
      <c r="P29" s="2" t="s">
        <v>225</v>
      </c>
    </row>
    <row r="30" spans="1:16" ht="62.1" customHeight="1">
      <c r="A30" s="2" t="s">
        <v>226</v>
      </c>
      <c r="B30" s="2" t="s">
        <v>217</v>
      </c>
      <c r="C30" s="2" t="s">
        <v>227</v>
      </c>
      <c r="D30" s="2" t="s">
        <v>228</v>
      </c>
      <c r="E30" s="2" t="s">
        <v>229</v>
      </c>
      <c r="F30" s="2" t="s">
        <v>230</v>
      </c>
      <c r="G30" s="2" t="s">
        <v>35</v>
      </c>
      <c r="H30" s="2">
        <v>0</v>
      </c>
      <c r="I30" s="2">
        <v>3</v>
      </c>
      <c r="J30" s="2">
        <f t="shared" si="0"/>
        <v>3</v>
      </c>
      <c r="K30" s="2" t="s">
        <v>205</v>
      </c>
      <c r="L30" s="2" t="s">
        <v>231</v>
      </c>
      <c r="M30" s="2" t="s">
        <v>61</v>
      </c>
      <c r="N30" s="2" t="s">
        <v>232</v>
      </c>
      <c r="O30" s="2" t="s">
        <v>169</v>
      </c>
      <c r="P30" s="2" t="s">
        <v>233</v>
      </c>
    </row>
    <row r="31" spans="1:16" ht="62.1" customHeight="1">
      <c r="A31" s="2" t="s">
        <v>234</v>
      </c>
      <c r="B31" s="2" t="s">
        <v>217</v>
      </c>
      <c r="C31" s="2" t="s">
        <v>235</v>
      </c>
      <c r="D31" s="2" t="s">
        <v>236</v>
      </c>
      <c r="E31" s="2" t="s">
        <v>237</v>
      </c>
      <c r="F31" s="2" t="s">
        <v>238</v>
      </c>
      <c r="G31" s="2" t="s">
        <v>35</v>
      </c>
      <c r="H31" s="2">
        <v>0</v>
      </c>
      <c r="I31" s="2">
        <v>3</v>
      </c>
      <c r="J31" s="2">
        <f t="shared" si="0"/>
        <v>3</v>
      </c>
      <c r="K31" s="2" t="s">
        <v>239</v>
      </c>
      <c r="L31" s="2" t="s">
        <v>240</v>
      </c>
      <c r="M31" s="2" t="s">
        <v>61</v>
      </c>
      <c r="N31" s="2" t="s">
        <v>241</v>
      </c>
      <c r="O31" s="2" t="s">
        <v>177</v>
      </c>
      <c r="P31" s="2" t="s">
        <v>242</v>
      </c>
    </row>
    <row r="32" spans="1:16" ht="62.1" customHeight="1">
      <c r="A32" s="2" t="s">
        <v>243</v>
      </c>
      <c r="B32" s="2" t="s">
        <v>217</v>
      </c>
      <c r="C32" s="2" t="s">
        <v>235</v>
      </c>
      <c r="D32" s="2" t="s">
        <v>244</v>
      </c>
      <c r="E32" s="2" t="s">
        <v>245</v>
      </c>
      <c r="F32" s="2" t="s">
        <v>246</v>
      </c>
      <c r="G32" s="2" t="s">
        <v>35</v>
      </c>
      <c r="H32" s="2">
        <v>0</v>
      </c>
      <c r="I32" s="2">
        <v>3</v>
      </c>
      <c r="J32" s="2">
        <f t="shared" si="0"/>
        <v>3</v>
      </c>
      <c r="K32" s="2" t="s">
        <v>107</v>
      </c>
      <c r="L32" s="2" t="s">
        <v>247</v>
      </c>
      <c r="M32" s="2" t="s">
        <v>27</v>
      </c>
      <c r="N32" s="2" t="s">
        <v>109</v>
      </c>
      <c r="O32" s="2" t="s">
        <v>169</v>
      </c>
      <c r="P32" s="2" t="s">
        <v>248</v>
      </c>
    </row>
    <row r="33" spans="1:16" ht="62.1" customHeight="1">
      <c r="A33" s="2" t="s">
        <v>249</v>
      </c>
      <c r="B33" s="2" t="s">
        <v>250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35</v>
      </c>
      <c r="H33" s="2">
        <v>0</v>
      </c>
      <c r="I33" s="2">
        <v>3</v>
      </c>
      <c r="J33" s="2">
        <f t="shared" si="0"/>
        <v>3</v>
      </c>
      <c r="K33" s="2" t="s">
        <v>255</v>
      </c>
      <c r="L33" s="2" t="s">
        <v>256</v>
      </c>
      <c r="M33" s="2" t="s">
        <v>61</v>
      </c>
      <c r="N33" s="2" t="s">
        <v>257</v>
      </c>
      <c r="O33" s="2" t="s">
        <v>153</v>
      </c>
      <c r="P33" s="2" t="s">
        <v>258</v>
      </c>
    </row>
    <row r="34" spans="1:16" ht="62.1" customHeight="1">
      <c r="A34" s="2" t="s">
        <v>259</v>
      </c>
      <c r="B34" s="2" t="s">
        <v>250</v>
      </c>
      <c r="C34" s="2" t="s">
        <v>260</v>
      </c>
      <c r="D34" s="2" t="s">
        <v>261</v>
      </c>
      <c r="E34" s="2" t="s">
        <v>262</v>
      </c>
      <c r="F34" s="2" t="s">
        <v>263</v>
      </c>
      <c r="G34" s="2" t="s">
        <v>35</v>
      </c>
      <c r="H34" s="2">
        <v>0</v>
      </c>
      <c r="I34" s="2">
        <v>3</v>
      </c>
      <c r="J34" s="2">
        <f t="shared" si="0"/>
        <v>3</v>
      </c>
      <c r="K34" s="2" t="s">
        <v>264</v>
      </c>
      <c r="L34" s="2" t="s">
        <v>265</v>
      </c>
      <c r="M34" s="2" t="s">
        <v>27</v>
      </c>
      <c r="N34" s="2" t="s">
        <v>266</v>
      </c>
      <c r="O34" s="2" t="s">
        <v>224</v>
      </c>
      <c r="P34" s="2" t="s">
        <v>267</v>
      </c>
    </row>
    <row r="35" spans="1:16" ht="62.1" customHeight="1">
      <c r="A35" s="2" t="s">
        <v>268</v>
      </c>
      <c r="B35" s="2" t="s">
        <v>250</v>
      </c>
      <c r="C35" s="2" t="s">
        <v>269</v>
      </c>
      <c r="D35" s="2" t="s">
        <v>270</v>
      </c>
      <c r="E35" s="2" t="s">
        <v>271</v>
      </c>
      <c r="F35" s="2" t="s">
        <v>272</v>
      </c>
      <c r="G35" s="2" t="s">
        <v>35</v>
      </c>
      <c r="H35" s="2">
        <v>0</v>
      </c>
      <c r="I35" s="2">
        <v>3</v>
      </c>
      <c r="J35" s="2">
        <f t="shared" si="0"/>
        <v>3</v>
      </c>
      <c r="K35" s="2" t="s">
        <v>255</v>
      </c>
      <c r="L35" s="2" t="s">
        <v>273</v>
      </c>
      <c r="M35" s="2" t="s">
        <v>61</v>
      </c>
      <c r="N35" s="2" t="s">
        <v>232</v>
      </c>
      <c r="O35" s="2" t="s">
        <v>177</v>
      </c>
      <c r="P35" s="2" t="s">
        <v>274</v>
      </c>
    </row>
    <row r="36" spans="1:16" ht="62.1" customHeight="1">
      <c r="A36" s="2" t="s">
        <v>275</v>
      </c>
      <c r="B36" s="2" t="s">
        <v>276</v>
      </c>
      <c r="C36" s="2" t="s">
        <v>277</v>
      </c>
      <c r="D36" s="2" t="s">
        <v>278</v>
      </c>
      <c r="E36" s="2" t="s">
        <v>279</v>
      </c>
      <c r="F36" s="2" t="s">
        <v>280</v>
      </c>
      <c r="G36" s="2" t="s">
        <v>281</v>
      </c>
      <c r="H36" s="2">
        <v>3</v>
      </c>
      <c r="I36" s="2">
        <v>4</v>
      </c>
      <c r="J36" s="2">
        <f t="shared" si="0"/>
        <v>1</v>
      </c>
      <c r="K36" s="2" t="s">
        <v>282</v>
      </c>
      <c r="L36" s="2" t="s">
        <v>283</v>
      </c>
      <c r="M36" s="2" t="s">
        <v>284</v>
      </c>
      <c r="N36" s="2" t="s">
        <v>118</v>
      </c>
      <c r="O36" s="2" t="s">
        <v>285</v>
      </c>
      <c r="P36" s="2" t="s">
        <v>286</v>
      </c>
    </row>
    <row r="37" spans="1:16" ht="62.1" customHeight="1">
      <c r="A37" s="2" t="s">
        <v>287</v>
      </c>
      <c r="B37" s="2" t="s">
        <v>276</v>
      </c>
      <c r="C37" s="2" t="s">
        <v>288</v>
      </c>
      <c r="D37" s="2" t="s">
        <v>289</v>
      </c>
      <c r="E37" s="2" t="s">
        <v>290</v>
      </c>
      <c r="F37" s="2" t="s">
        <v>291</v>
      </c>
      <c r="G37" s="2" t="s">
        <v>24</v>
      </c>
      <c r="H37" s="2">
        <v>2</v>
      </c>
      <c r="I37" s="2">
        <v>4</v>
      </c>
      <c r="J37" s="2">
        <f t="shared" si="0"/>
        <v>2</v>
      </c>
      <c r="K37" s="2" t="s">
        <v>282</v>
      </c>
      <c r="L37" s="2" t="s">
        <v>292</v>
      </c>
      <c r="M37" s="2" t="s">
        <v>176</v>
      </c>
      <c r="N37" s="2" t="s">
        <v>118</v>
      </c>
      <c r="O37" s="2" t="s">
        <v>293</v>
      </c>
      <c r="P37" s="2" t="s">
        <v>294</v>
      </c>
    </row>
    <row r="38" spans="1:16" ht="62.1" customHeight="1">
      <c r="A38" s="2" t="s">
        <v>295</v>
      </c>
      <c r="B38" s="2" t="s">
        <v>276</v>
      </c>
      <c r="C38" s="2" t="s">
        <v>296</v>
      </c>
      <c r="D38" s="2" t="s">
        <v>297</v>
      </c>
      <c r="E38" s="2" t="s">
        <v>298</v>
      </c>
      <c r="F38" s="2" t="s">
        <v>299</v>
      </c>
      <c r="G38" s="2" t="s">
        <v>35</v>
      </c>
      <c r="H38" s="2">
        <v>0</v>
      </c>
      <c r="I38" s="2">
        <v>3</v>
      </c>
      <c r="J38" s="2">
        <f t="shared" si="0"/>
        <v>3</v>
      </c>
      <c r="K38" s="2" t="s">
        <v>282</v>
      </c>
      <c r="L38" s="2" t="s">
        <v>300</v>
      </c>
      <c r="M38" s="2" t="s">
        <v>27</v>
      </c>
      <c r="N38" s="2" t="s">
        <v>301</v>
      </c>
      <c r="O38" s="2" t="s">
        <v>293</v>
      </c>
      <c r="P38" s="2" t="s">
        <v>302</v>
      </c>
    </row>
  </sheetData>
  <mergeCells count="2">
    <mergeCell ref="A1:P1"/>
    <mergeCell ref="A2:P2"/>
  </mergeCells>
  <conditionalFormatting sqref="J5:J38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M5:M38">
    <cfRule type="expression" dxfId="3" priority="2">
      <formula>M5="Critical"</formula>
    </cfRule>
    <cfRule type="expression" dxfId="2" priority="3">
      <formula>M5="High"</formula>
    </cfRule>
    <cfRule type="expression" dxfId="1" priority="4">
      <formula>M5="Moderate"</formula>
    </cfRule>
    <cfRule type="expression" dxfId="0" priority="5">
      <formula>M5="Low"</formula>
    </cfRule>
  </conditionalFormatting>
  <dataValidations count="3">
    <dataValidation type="list" sqref="G5:G38" xr:uid="{00000000-0002-0000-0000-000000000000}">
      <formula1>"Pass,Partial,Fail,Unknown"</formula1>
    </dataValidation>
    <dataValidation type="list" sqref="M5:M38" xr:uid="{00000000-0002-0000-0000-000001000000}">
      <formula1>"Low,Moderate,High,Critical"</formula1>
    </dataValidation>
    <dataValidation type="list" sqref="H5:I38" xr:uid="{00000000-0002-0000-0000-000002000000}">
      <formula1>"0,1,2,3,4,5"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>
      <selection activeCell="E4" sqref="E4:E7"/>
    </sheetView>
  </sheetViews>
  <sheetFormatPr defaultRowHeight="14.25"/>
  <cols>
    <col min="1" max="1" width="24" customWidth="1"/>
    <col min="2" max="2" width="72" customWidth="1"/>
    <col min="3" max="8" width="18" customWidth="1"/>
  </cols>
  <sheetData>
    <row r="1" spans="1:8" ht="23.25">
      <c r="A1" s="5" t="s">
        <v>303</v>
      </c>
      <c r="B1" s="5"/>
      <c r="C1" s="5"/>
      <c r="D1" s="5"/>
      <c r="E1" s="5"/>
      <c r="F1" s="5"/>
      <c r="G1" s="5"/>
      <c r="H1" s="5"/>
    </row>
    <row r="3" spans="1:8" ht="30">
      <c r="A3" s="14" t="s">
        <v>3</v>
      </c>
      <c r="B3" s="14" t="s">
        <v>304</v>
      </c>
      <c r="C3" s="14" t="s">
        <v>35</v>
      </c>
      <c r="D3" s="14" t="s">
        <v>24</v>
      </c>
      <c r="E3" s="14" t="s">
        <v>281</v>
      </c>
      <c r="F3" s="14" t="s">
        <v>305</v>
      </c>
      <c r="G3" s="14" t="s">
        <v>306</v>
      </c>
      <c r="H3" s="14" t="s">
        <v>307</v>
      </c>
    </row>
    <row r="4" spans="1:8">
      <c r="A4" s="16" t="s">
        <v>19</v>
      </c>
      <c r="B4" s="16">
        <f>COUNTIF('Gap Assessment'!$B$5:$B$38,A4)</f>
        <v>12</v>
      </c>
      <c r="C4" s="19">
        <f>COUNTIFS('Gap Assessment'!$B$5:$B$38,A4,'Gap Assessment'!$G$5:$G$38,"Fail")</f>
        <v>11</v>
      </c>
      <c r="D4" s="16">
        <f>COUNTIFS('Gap Assessment'!$B$5:$B$38,A4,'Gap Assessment'!$G$5:$G$38,"Partial")</f>
        <v>1</v>
      </c>
      <c r="E4" s="19">
        <f>COUNTIFS('Gap Assessment'!$B$5:$B$38,A4,'Gap Assessment'!$G$5:$G$38,"Pass")</f>
        <v>0</v>
      </c>
      <c r="F4" s="21">
        <f>SUMIF('Gap Assessment'!$B$5:$B$38,A4,'Gap Assessment'!$H$5:$H$38)/B4</f>
        <v>0.5</v>
      </c>
      <c r="G4" s="17">
        <f>SUMIF('Gap Assessment'!$B$5:$B$38,A4,'Gap Assessment'!$I$5:$I$38)/B4</f>
        <v>3</v>
      </c>
      <c r="H4" s="17">
        <f>SUMIF('Gap Assessment'!$B$5:$B$38,A4,'Gap Assessment'!$J$5:$J$38)/B4</f>
        <v>2.5</v>
      </c>
    </row>
    <row r="5" spans="1:8">
      <c r="A5" s="16" t="s">
        <v>121</v>
      </c>
      <c r="B5" s="16">
        <f>COUNTIF('Gap Assessment'!$B$5:$B$38,A5)</f>
        <v>12</v>
      </c>
      <c r="C5" s="19">
        <f>COUNTIFS('Gap Assessment'!$B$5:$B$38,A5,'Gap Assessment'!$G$5:$G$38,"Fail")</f>
        <v>12</v>
      </c>
      <c r="D5" s="16">
        <f>COUNTIFS('Gap Assessment'!$B$5:$B$38,A5,'Gap Assessment'!$G$5:$G$38,"Partial")</f>
        <v>0</v>
      </c>
      <c r="E5" s="19">
        <f>COUNTIFS('Gap Assessment'!$B$5:$B$38,A5,'Gap Assessment'!$G$5:$G$38,"Pass")</f>
        <v>0</v>
      </c>
      <c r="F5" s="21">
        <f>SUMIF('Gap Assessment'!$B$5:$B$38,A5,'Gap Assessment'!$H$5:$H$38)/B5</f>
        <v>0.41666666666666669</v>
      </c>
      <c r="G5" s="17">
        <f>SUMIF('Gap Assessment'!$B$5:$B$38,A5,'Gap Assessment'!$I$5:$I$38)/B5</f>
        <v>3</v>
      </c>
      <c r="H5" s="17">
        <f>SUMIF('Gap Assessment'!$B$5:$B$38,A5,'Gap Assessment'!$J$5:$J$38)/B5</f>
        <v>2.5833333333333335</v>
      </c>
    </row>
    <row r="6" spans="1:8">
      <c r="A6" s="16" t="s">
        <v>217</v>
      </c>
      <c r="B6" s="16">
        <f>COUNTIF('Gap Assessment'!$B$5:$B$38,A6)</f>
        <v>4</v>
      </c>
      <c r="C6" s="23">
        <f>COUNTIFS('Gap Assessment'!$B$5:$B$38,A6,'Gap Assessment'!$G$5:$G$38,"Fail")</f>
        <v>4</v>
      </c>
      <c r="D6" s="16">
        <f>COUNTIFS('Gap Assessment'!$B$5:$B$38,A6,'Gap Assessment'!$G$5:$G$38,"Partial")</f>
        <v>0</v>
      </c>
      <c r="E6" s="19">
        <f>COUNTIFS('Gap Assessment'!$B$5:$B$38,A6,'Gap Assessment'!$G$5:$G$38,"Pass")</f>
        <v>0</v>
      </c>
      <c r="F6" s="20">
        <f>SUMIF('Gap Assessment'!$B$5:$B$38,A6,'Gap Assessment'!$H$5:$H$38)/B6</f>
        <v>0</v>
      </c>
      <c r="G6" s="17">
        <f>SUMIF('Gap Assessment'!$B$5:$B$38,A6,'Gap Assessment'!$I$5:$I$38)/B6</f>
        <v>3</v>
      </c>
      <c r="H6" s="17">
        <f>SUMIF('Gap Assessment'!$B$5:$B$38,A6,'Gap Assessment'!$J$5:$J$38)/B6</f>
        <v>3</v>
      </c>
    </row>
    <row r="7" spans="1:8">
      <c r="A7" s="16" t="s">
        <v>250</v>
      </c>
      <c r="B7" s="16">
        <f>COUNTIF('Gap Assessment'!$B$5:$B$38,A7)</f>
        <v>3</v>
      </c>
      <c r="C7" s="23">
        <f>COUNTIFS('Gap Assessment'!$B$5:$B$38,A7,'Gap Assessment'!$G$5:$G$38,"Fail")</f>
        <v>3</v>
      </c>
      <c r="D7" s="16">
        <f>COUNTIFS('Gap Assessment'!$B$5:$B$38,A7,'Gap Assessment'!$G$5:$G$38,"Partial")</f>
        <v>0</v>
      </c>
      <c r="E7" s="19">
        <f>COUNTIFS('Gap Assessment'!$B$5:$B$38,A7,'Gap Assessment'!$G$5:$G$38,"Pass")</f>
        <v>0</v>
      </c>
      <c r="F7" s="20">
        <f>SUMIF('Gap Assessment'!$B$5:$B$38,A7,'Gap Assessment'!$H$5:$H$38)/B7</f>
        <v>0</v>
      </c>
      <c r="G7" s="17">
        <f>SUMIF('Gap Assessment'!$B$5:$B$38,A7,'Gap Assessment'!$I$5:$I$38)/B7</f>
        <v>3</v>
      </c>
      <c r="H7" s="17">
        <f>SUMIF('Gap Assessment'!$B$5:$B$38,A7,'Gap Assessment'!$J$5:$J$38)/B7</f>
        <v>3</v>
      </c>
    </row>
    <row r="8" spans="1:8">
      <c r="A8" s="16" t="s">
        <v>276</v>
      </c>
      <c r="B8" s="16">
        <f>COUNTIF('Gap Assessment'!$B$5:$B$38,A8)</f>
        <v>3</v>
      </c>
      <c r="C8" s="23">
        <f>COUNTIFS('Gap Assessment'!$B$5:$B$38,A8,'Gap Assessment'!$G$5:$G$38,"Fail")</f>
        <v>1</v>
      </c>
      <c r="D8" s="16">
        <f>COUNTIFS('Gap Assessment'!$B$5:$B$38,A8,'Gap Assessment'!$G$5:$G$38,"Partial")</f>
        <v>1</v>
      </c>
      <c r="E8" s="24">
        <f>COUNTIFS('Gap Assessment'!$B$5:$B$38,A8,'Gap Assessment'!$G$5:$G$38,"Pass")</f>
        <v>1</v>
      </c>
      <c r="F8" s="22">
        <f>SUMIF('Gap Assessment'!$B$5:$B$38,A8,'Gap Assessment'!$H$5:$H$38)/B8</f>
        <v>1.6666666666666667</v>
      </c>
      <c r="G8" s="17">
        <f>SUMIF('Gap Assessment'!$B$5:$B$38,A8,'Gap Assessment'!$I$5:$I$38)/B8</f>
        <v>3.6666666666666665</v>
      </c>
      <c r="H8" s="17">
        <f>SUMIF('Gap Assessment'!$B$5:$B$38,A8,'Gap Assessment'!$J$5:$J$38)/B8</f>
        <v>2</v>
      </c>
    </row>
    <row r="10" spans="1:8" ht="15">
      <c r="A10" s="14" t="s">
        <v>308</v>
      </c>
      <c r="B10" s="14"/>
    </row>
    <row r="11" spans="1:8" ht="28.5">
      <c r="A11" s="15" t="s">
        <v>309</v>
      </c>
      <c r="B11" s="15" t="s">
        <v>310</v>
      </c>
      <c r="D11" s="18"/>
    </row>
    <row r="12" spans="1:8" ht="28.5">
      <c r="A12" s="15" t="s">
        <v>311</v>
      </c>
      <c r="B12" s="15" t="s">
        <v>312</v>
      </c>
    </row>
    <row r="13" spans="1:8" ht="28.5">
      <c r="A13" s="15" t="s">
        <v>313</v>
      </c>
      <c r="B13" s="15" t="s">
        <v>314</v>
      </c>
    </row>
    <row r="14" spans="1:8" ht="28.5">
      <c r="A14" s="15" t="s">
        <v>315</v>
      </c>
      <c r="B14" s="15" t="s">
        <v>316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A11" sqref="A11:C11"/>
    </sheetView>
  </sheetViews>
  <sheetFormatPr defaultRowHeight="14.25"/>
  <cols>
    <col min="1" max="1" width="15.5" customWidth="1"/>
    <col min="2" max="2" width="20" customWidth="1"/>
    <col min="3" max="3" width="70" customWidth="1"/>
  </cols>
  <sheetData>
    <row r="1" spans="1:3" ht="23.25">
      <c r="A1" s="5" t="s">
        <v>317</v>
      </c>
      <c r="B1" s="5"/>
      <c r="C1" s="5"/>
    </row>
    <row r="3" spans="1:3" ht="15">
      <c r="A3" s="14" t="s">
        <v>318</v>
      </c>
      <c r="B3" s="14" t="s">
        <v>319</v>
      </c>
      <c r="C3" s="14" t="s">
        <v>320</v>
      </c>
    </row>
    <row r="4" spans="1:3">
      <c r="A4" s="15">
        <v>0</v>
      </c>
      <c r="B4" s="15" t="s">
        <v>321</v>
      </c>
      <c r="C4" s="15" t="s">
        <v>322</v>
      </c>
    </row>
    <row r="5" spans="1:3">
      <c r="A5" s="15">
        <v>1</v>
      </c>
      <c r="B5" s="15" t="s">
        <v>323</v>
      </c>
      <c r="C5" s="15" t="s">
        <v>324</v>
      </c>
    </row>
    <row r="6" spans="1:3" ht="28.5">
      <c r="A6" s="15">
        <v>2</v>
      </c>
      <c r="B6" s="15" t="s">
        <v>325</v>
      </c>
      <c r="C6" s="15" t="s">
        <v>326</v>
      </c>
    </row>
    <row r="7" spans="1:3">
      <c r="A7" s="15">
        <v>3</v>
      </c>
      <c r="B7" s="15" t="s">
        <v>327</v>
      </c>
      <c r="C7" s="15" t="s">
        <v>328</v>
      </c>
    </row>
    <row r="8" spans="1:3">
      <c r="A8" s="15">
        <v>4</v>
      </c>
      <c r="B8" s="15" t="s">
        <v>329</v>
      </c>
      <c r="C8" s="15" t="s">
        <v>330</v>
      </c>
    </row>
    <row r="9" spans="1:3" ht="28.5">
      <c r="A9" s="15">
        <v>5</v>
      </c>
      <c r="B9" s="15" t="s">
        <v>331</v>
      </c>
      <c r="C9" s="15" t="s">
        <v>332</v>
      </c>
    </row>
    <row r="11" spans="1:3" ht="45" customHeight="1">
      <c r="A11" s="11" t="s">
        <v>333</v>
      </c>
      <c r="B11" s="12"/>
      <c r="C11" s="13"/>
    </row>
    <row r="12" spans="1:3" ht="57" customHeight="1">
      <c r="A12" s="3" t="s">
        <v>9</v>
      </c>
      <c r="B12" s="7" t="s">
        <v>334</v>
      </c>
      <c r="C12" s="8"/>
    </row>
    <row r="13" spans="1:3" ht="85.5" customHeight="1">
      <c r="A13" s="3" t="s">
        <v>10</v>
      </c>
      <c r="B13" s="7" t="s">
        <v>335</v>
      </c>
      <c r="C13" s="8"/>
    </row>
    <row r="14" spans="1:3" ht="85.5" customHeight="1">
      <c r="A14" s="4" t="s">
        <v>11</v>
      </c>
      <c r="B14" s="9" t="s">
        <v>336</v>
      </c>
      <c r="C14" s="10"/>
    </row>
  </sheetData>
  <mergeCells count="5">
    <mergeCell ref="A1:C1"/>
    <mergeCell ref="B12:C12"/>
    <mergeCell ref="B13:C13"/>
    <mergeCell ref="B14:C14"/>
    <mergeCell ref="A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sqref="A1:G1"/>
    </sheetView>
  </sheetViews>
  <sheetFormatPr defaultRowHeight="14.25"/>
  <cols>
    <col min="1" max="1" width="10" customWidth="1"/>
    <col min="2" max="2" width="12" customWidth="1"/>
    <col min="3" max="3" width="34" customWidth="1"/>
    <col min="4" max="4" width="14" customWidth="1"/>
    <col min="5" max="5" width="60" customWidth="1"/>
    <col min="6" max="6" width="28" customWidth="1"/>
    <col min="7" max="7" width="20" customWidth="1"/>
  </cols>
  <sheetData>
    <row r="1" spans="1:7" ht="23.25">
      <c r="A1" s="5" t="s">
        <v>337</v>
      </c>
      <c r="B1" s="5"/>
      <c r="C1" s="5"/>
      <c r="D1" s="5"/>
      <c r="E1" s="5"/>
      <c r="F1" s="5"/>
      <c r="G1" s="5"/>
    </row>
    <row r="3" spans="1:7" ht="15">
      <c r="A3" s="1" t="s">
        <v>14</v>
      </c>
      <c r="B3" s="1" t="s">
        <v>2</v>
      </c>
      <c r="C3" s="1" t="s">
        <v>338</v>
      </c>
      <c r="D3" s="1" t="s">
        <v>339</v>
      </c>
      <c r="E3" s="1" t="s">
        <v>13</v>
      </c>
      <c r="F3" s="1" t="s">
        <v>340</v>
      </c>
      <c r="G3" s="1" t="s">
        <v>16</v>
      </c>
    </row>
    <row r="4" spans="1:7" ht="28.5">
      <c r="A4" s="2">
        <v>1</v>
      </c>
      <c r="B4" s="2" t="s">
        <v>54</v>
      </c>
      <c r="C4" s="2" t="s">
        <v>56</v>
      </c>
      <c r="D4" s="2" t="s">
        <v>59</v>
      </c>
      <c r="E4" s="2" t="s">
        <v>60</v>
      </c>
      <c r="F4" s="2" t="s">
        <v>62</v>
      </c>
      <c r="G4" s="2" t="s">
        <v>63</v>
      </c>
    </row>
    <row r="5" spans="1:7" ht="28.5">
      <c r="A5" s="2">
        <v>2</v>
      </c>
      <c r="B5" s="2" t="s">
        <v>65</v>
      </c>
      <c r="C5" s="2" t="s">
        <v>66</v>
      </c>
      <c r="D5" s="2" t="s">
        <v>59</v>
      </c>
      <c r="E5" s="2" t="s">
        <v>69</v>
      </c>
      <c r="F5" s="2" t="s">
        <v>70</v>
      </c>
      <c r="G5" s="2" t="s">
        <v>71</v>
      </c>
    </row>
    <row r="6" spans="1:7" ht="28.5">
      <c r="A6" s="2">
        <v>3</v>
      </c>
      <c r="B6" s="2" t="s">
        <v>80</v>
      </c>
      <c r="C6" s="2" t="s">
        <v>82</v>
      </c>
      <c r="D6" s="2" t="s">
        <v>85</v>
      </c>
      <c r="E6" s="2" t="s">
        <v>86</v>
      </c>
      <c r="F6" s="2" t="s">
        <v>70</v>
      </c>
      <c r="G6" s="2" t="s">
        <v>71</v>
      </c>
    </row>
    <row r="7" spans="1:7" ht="28.5">
      <c r="A7" s="2">
        <v>4</v>
      </c>
      <c r="B7" s="2" t="s">
        <v>94</v>
      </c>
      <c r="C7" s="2" t="s">
        <v>96</v>
      </c>
      <c r="D7" s="2" t="s">
        <v>85</v>
      </c>
      <c r="E7" s="2" t="s">
        <v>99</v>
      </c>
      <c r="F7" s="2" t="s">
        <v>100</v>
      </c>
      <c r="G7" s="2" t="s">
        <v>29</v>
      </c>
    </row>
    <row r="8" spans="1:7" ht="28.5">
      <c r="A8" s="2">
        <v>5</v>
      </c>
      <c r="B8" s="2" t="s">
        <v>102</v>
      </c>
      <c r="C8" s="2" t="s">
        <v>104</v>
      </c>
      <c r="D8" s="2" t="s">
        <v>107</v>
      </c>
      <c r="E8" s="2" t="s">
        <v>108</v>
      </c>
      <c r="F8" s="2" t="s">
        <v>109</v>
      </c>
      <c r="G8" s="2" t="s">
        <v>45</v>
      </c>
    </row>
    <row r="9" spans="1:7" ht="28.5">
      <c r="A9" s="2">
        <v>6</v>
      </c>
      <c r="B9" s="2" t="s">
        <v>131</v>
      </c>
      <c r="C9" s="2" t="s">
        <v>132</v>
      </c>
      <c r="D9" s="2" t="s">
        <v>135</v>
      </c>
      <c r="E9" s="2" t="s">
        <v>136</v>
      </c>
      <c r="F9" s="2" t="s">
        <v>128</v>
      </c>
      <c r="G9" s="2" t="s">
        <v>137</v>
      </c>
    </row>
    <row r="10" spans="1:7" ht="28.5">
      <c r="A10" s="2">
        <v>7</v>
      </c>
      <c r="B10" s="2" t="s">
        <v>155</v>
      </c>
      <c r="C10" s="2" t="s">
        <v>157</v>
      </c>
      <c r="D10" s="2" t="s">
        <v>160</v>
      </c>
      <c r="E10" s="2" t="s">
        <v>161</v>
      </c>
      <c r="F10" s="2" t="s">
        <v>162</v>
      </c>
      <c r="G10" s="2" t="s">
        <v>153</v>
      </c>
    </row>
    <row r="11" spans="1:7" ht="28.5">
      <c r="A11" s="2">
        <v>8</v>
      </c>
      <c r="B11" s="2" t="s">
        <v>164</v>
      </c>
      <c r="C11" s="2" t="s">
        <v>165</v>
      </c>
      <c r="D11" s="2" t="s">
        <v>160</v>
      </c>
      <c r="E11" s="2" t="s">
        <v>168</v>
      </c>
      <c r="F11" s="2" t="s">
        <v>162</v>
      </c>
      <c r="G11" s="2" t="s">
        <v>169</v>
      </c>
    </row>
    <row r="12" spans="1:7">
      <c r="A12" s="2">
        <v>9</v>
      </c>
      <c r="B12" s="2" t="s">
        <v>200</v>
      </c>
      <c r="C12" s="2" t="s">
        <v>202</v>
      </c>
      <c r="D12" s="2" t="s">
        <v>205</v>
      </c>
      <c r="E12" s="2" t="s">
        <v>206</v>
      </c>
      <c r="F12" s="2" t="s">
        <v>207</v>
      </c>
      <c r="G12" s="2" t="s">
        <v>177</v>
      </c>
    </row>
    <row r="13" spans="1:7" ht="28.5">
      <c r="A13" s="2">
        <v>10</v>
      </c>
      <c r="B13" s="2" t="s">
        <v>216</v>
      </c>
      <c r="C13" s="2" t="s">
        <v>219</v>
      </c>
      <c r="D13" s="2" t="s">
        <v>205</v>
      </c>
      <c r="E13" s="2" t="s">
        <v>222</v>
      </c>
      <c r="F13" s="2" t="s">
        <v>223</v>
      </c>
      <c r="G13" s="2" t="s">
        <v>224</v>
      </c>
    </row>
    <row r="14" spans="1:7" ht="28.5">
      <c r="A14" s="2">
        <v>11</v>
      </c>
      <c r="B14" s="2" t="s">
        <v>226</v>
      </c>
      <c r="C14" s="2" t="s">
        <v>228</v>
      </c>
      <c r="D14" s="2" t="s">
        <v>205</v>
      </c>
      <c r="E14" s="2" t="s">
        <v>231</v>
      </c>
      <c r="F14" s="2" t="s">
        <v>232</v>
      </c>
      <c r="G14" s="2" t="s">
        <v>169</v>
      </c>
    </row>
    <row r="15" spans="1:7" ht="28.5">
      <c r="A15" s="2">
        <v>12</v>
      </c>
      <c r="B15" s="2" t="s">
        <v>234</v>
      </c>
      <c r="C15" s="2" t="s">
        <v>236</v>
      </c>
      <c r="D15" s="2" t="s">
        <v>239</v>
      </c>
      <c r="E15" s="2" t="s">
        <v>240</v>
      </c>
      <c r="F15" s="2" t="s">
        <v>241</v>
      </c>
      <c r="G15" s="2" t="s">
        <v>177</v>
      </c>
    </row>
    <row r="16" spans="1:7" ht="28.5">
      <c r="A16" s="2">
        <v>13</v>
      </c>
      <c r="B16" s="2" t="s">
        <v>249</v>
      </c>
      <c r="C16" s="2" t="s">
        <v>252</v>
      </c>
      <c r="D16" s="2" t="s">
        <v>255</v>
      </c>
      <c r="E16" s="2" t="s">
        <v>256</v>
      </c>
      <c r="F16" s="2" t="s">
        <v>257</v>
      </c>
      <c r="G16" s="2" t="s">
        <v>153</v>
      </c>
    </row>
    <row r="17" spans="1:7" ht="28.5">
      <c r="A17" s="2">
        <v>14</v>
      </c>
      <c r="B17" s="2" t="s">
        <v>268</v>
      </c>
      <c r="C17" s="2" t="s">
        <v>270</v>
      </c>
      <c r="D17" s="2" t="s">
        <v>255</v>
      </c>
      <c r="E17" s="2" t="s">
        <v>273</v>
      </c>
      <c r="F17" s="2" t="s">
        <v>232</v>
      </c>
      <c r="G17" s="2" t="s">
        <v>177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Gap Assessment</vt:lpstr>
      <vt:lpstr>Gap Summary</vt:lpstr>
      <vt:lpstr>Maturity Model</vt:lpstr>
      <vt:lpstr>Priority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Jarell Humphries</dc:creator>
  <cp:lastModifiedBy>Jarell Humphries</cp:lastModifiedBy>
  <dcterms:created xsi:type="dcterms:W3CDTF">2026-08-29T01:17:20Z</dcterms:created>
  <dcterms:modified xsi:type="dcterms:W3CDTF">2026-08-29T09:05:01Z</dcterms:modified>
</cp:coreProperties>
</file>